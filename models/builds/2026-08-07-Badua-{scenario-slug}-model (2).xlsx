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8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egend-Key" sheetId="2" state="visible" r:id="rId4"/>
    <sheet name="Inputs" sheetId="3" state="visible" r:id="rId5"/>
    <sheet name="Forward" sheetId="4" state="visible" r:id="rId6"/>
    <sheet name="MoneyMarket" sheetId="5" state="visible" r:id="rId7"/>
    <sheet name="Options_Put" sheetId="6" state="visible" r:id="rId8"/>
    <sheet name="Options_Call" sheetId="7" state="visible" r:id="rId9"/>
    <sheet name="Sensitivity" sheetId="8" state="visible" r:id="rId10"/>
    <sheet name="Notes-Validation" sheetId="9" state="visible" r:id="rId11"/>
  </sheets>
  <definedNames>
    <definedName function="false" hidden="false" name="BASIS_FC" vbProcedure="false">Inputs!$C$11</definedName>
    <definedName function="false" hidden="false" name="BASIS_USD" vbProcedure="false">Inputs!$C$10</definedName>
    <definedName function="false" hidden="false" name="DF_FC" vbProcedure="false">Inputs!$C$14</definedName>
    <definedName function="false" hidden="false" name="DF_USD" vbProcedure="false">Inputs!$C$13</definedName>
    <definedName function="false" hidden="false" name="EUR_BORROWED" vbProcedure="false">MoneyMarket!$C$5</definedName>
    <definedName function="false" hidden="false" name="F0_in" vbProcedure="false">Inputs!$C$15</definedName>
    <definedName function="false" hidden="false" name="FC_AMT" vbProcedure="false">Inputs!$C$5</definedName>
    <definedName function="false" hidden="false" name="FV_PREM_CALL" vbProcedure="false">Inputs!$C$21</definedName>
    <definedName function="false" hidden="false" name="FV_PREM_PUT" vbProcedure="false">Inputs!$C$18</definedName>
    <definedName function="false" hidden="false" name="K_CALL" vbProcedure="false">Inputs!$C$19</definedName>
    <definedName function="false" hidden="false" name="K_PUT" vbProcedure="false">Inputs!$C$16</definedName>
    <definedName function="false" hidden="false" name="PREM_CALL" vbProcedure="false">Inputs!$C$20</definedName>
    <definedName function="false" hidden="false" name="PREM_PUT" vbProcedure="false">Inputs!$C$17</definedName>
    <definedName function="false" hidden="false" name="R_FC" vbProcedure="false">Inputs!$C$8</definedName>
    <definedName function="false" hidden="false" name="R_USD" vbProcedure="false">Inputs!$C$7</definedName>
    <definedName function="false" hidden="false" name="S0_in" vbProcedure="false">Inputs!$C$6</definedName>
    <definedName function="false" hidden="false" name="STEP_FRAC" vbProcedure="false">Inputs!$C$12</definedName>
    <definedName function="false" hidden="false" name="T_DAYS" vbProcedure="false">Inputs!$C$9</definedName>
    <definedName function="false" hidden="false" name="USD_CEILING_CALL" vbProcedure="false">Options_Call!$C$12</definedName>
    <definedName function="false" hidden="false" name="USD_CONVERTED" vbProcedure="false">MoneyMarket!$C$8</definedName>
    <definedName function="false" hidden="false" name="USD_FLOOR_PUT" vbProcedure="false">Options_Put!$C$10</definedName>
    <definedName function="false" hidden="false" name="USD_FWD" vbProcedure="false">Forward!$C$9</definedName>
    <definedName function="false" hidden="false" name="USD_MM" vbProcedure="false">MoneyMarket!$C$11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5" authorId="0">
      <text>
        <r>
          <rPr>
            <sz val="10"/>
            <rFont val="Arial"/>
            <family val="2"/>
          </rPr>
          <t xml:space="preserve">Derived via covered interest parity for internal consistency with the money-market leg. Phase 4 replaces this with a live dealer forward quote; the two should track closely but need not match exactly.</t>
        </r>
      </text>
    </comment>
    <comment ref="C19" authorId="0">
      <text>
        <r>
          <rPr>
            <sz val="10"/>
            <rFont val="Arial"/>
            <family val="2"/>
          </rPr>
          <t xml:space="preserve">Indicative placeholder, defaulted to S0_in for symmetry with K_PUT. Added to satisfy the build contract's put-and-call requirement; this scenario is receivable-only and does not use a call hedge in the recommendation.</t>
        </r>
      </text>
    </comment>
    <comment ref="C20" authorId="0">
      <text>
        <r>
          <rPr>
            <sz val="10"/>
            <rFont val="Arial"/>
            <family val="2"/>
          </rPr>
          <t xml:space="preserve">Derived via put-call parity (C − P = (F0_in − K)/DF_USD) so the placeholder is at least internally consistent, rather than an arbitrary number. Replace with a live dealer quote if a call hedge is ever priced for real.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Baseline row: S_T = S0_in</t>
        </r>
      </text>
    </comment>
  </commentList>
</comments>
</file>

<file path=xl/sharedStrings.xml><?xml version="1.0" encoding="utf-8"?>
<sst xmlns="http://schemas.openxmlformats.org/spreadsheetml/2006/main" count="326" uniqueCount="247">
  <si>
    <t xml:space="preserve">U.S. Pharmaceutical Exporter — FX Transaction Hedge Model</t>
  </si>
  <si>
    <t xml:space="preserve">EUR 8,000,000 receivable due in 365 days · Scenario slug: pharma-exporter</t>
  </si>
  <si>
    <t xml:space="preserve">FIN-321 International Finance &amp; Securities — Stage 3 Build</t>
  </si>
  <si>
    <t xml:space="preserve">Scenario</t>
  </si>
  <si>
    <t xml:space="preserve">pharma-exporter</t>
  </si>
  <si>
    <t xml:space="preserve">Exposure</t>
  </si>
  <si>
    <t xml:space="preserve">EUR 8,000,000 receivable (customer AR, EU sales)</t>
  </si>
  <si>
    <t xml:space="preserve">Author</t>
  </si>
  <si>
    <t xml:space="preserve">Allan Jay Badua</t>
  </si>
  <si>
    <t xml:space="preserve">Date built</t>
  </si>
  <si>
    <t xml:space="preserve">2026-08-07</t>
  </si>
  <si>
    <t xml:space="preserve">Spec source</t>
  </si>
  <si>
    <t xml:space="preserve">docs/specs/2026-08-07-Badua-pharma-exporter-spec.md</t>
  </si>
  <si>
    <t xml:space="preserve">Workbook version</t>
  </si>
  <si>
    <t xml:space="preserve">1.1</t>
  </si>
  <si>
    <t xml:space="preserve">Build method</t>
  </si>
  <si>
    <t xml:space="preserve">AI-assisted (Claude), openpyxl; audited by hand — see analysis/2026-08-07-Badua-build-audit.md</t>
  </si>
  <si>
    <t xml:space="preserve">Data Provenance</t>
  </si>
  <si>
    <t xml:space="preserve">Named Range</t>
  </si>
  <si>
    <t xml:space="preserve">Placeholder Value</t>
  </si>
  <si>
    <t xml:space="preserve">Status</t>
  </si>
  <si>
    <t xml:space="preserve">Phase-4 Source</t>
  </si>
  <si>
    <t xml:space="preserve">FC_AMT</t>
  </si>
  <si>
    <t xml:space="preserve">EUR 8,000,000</t>
  </si>
  <si>
    <t xml:space="preserve">Firm (contract amount)</t>
  </si>
  <si>
    <t xml:space="preserve">Sales contract / AR aging schedule</t>
  </si>
  <si>
    <t xml:space="preserve">S0_in</t>
  </si>
  <si>
    <t xml:space="preserve">1.1525 USD/EUR</t>
  </si>
  <si>
    <t xml:space="preserve">Live (2026-08-07)</t>
  </si>
  <si>
    <t xml:space="preserve">Yahoo Finance EURUSD=X, 2026-08-07 23:01:54 GMT+1</t>
  </si>
  <si>
    <t xml:space="preserve">F0_in</t>
  </si>
  <si>
    <t xml:space="preserve">derived (parity)</t>
  </si>
  <si>
    <t xml:space="preserve">Live (derived, CIP)</t>
  </si>
  <si>
    <t xml:space="preserve">CIP-implied from live S0_in, R_USD, R_FC (no live outright 1Y quote found in free sources); see market-data memo for comparison to indicative placeholder</t>
  </si>
  <si>
    <t xml:space="preserve">R_USD</t>
  </si>
  <si>
    <t xml:space="preserve">4.01%</t>
  </si>
  <si>
    <t xml:space="preserve">US Treasury Daily Par Yield Curve, 1 Yr CMT</t>
  </si>
  <si>
    <t xml:space="preserve">R_FC</t>
  </si>
  <si>
    <t xml:space="preserve">2.884%</t>
  </si>
  <si>
    <t xml:space="preserve">Live (2026-08-06, most recent published fixing)</t>
  </si>
  <si>
    <t xml:space="preserve">12M Euribor (EMMI via euribor-rates.eu, 24h-delayed publication)</t>
  </si>
  <si>
    <t xml:space="preserve">K_PUT</t>
  </si>
  <si>
    <t xml:space="preserve">1.1525 (ATM)</t>
  </si>
  <si>
    <t xml:space="preserve">Live (set to live S0_in)</t>
  </si>
  <si>
    <t xml:space="preserve">Desk quote at strike selection</t>
  </si>
  <si>
    <t xml:space="preserve">PREM_PUT</t>
  </si>
  <si>
    <t xml:space="preserve">0.0210 USD/EUR</t>
  </si>
  <si>
    <t xml:space="preserve">Assumption — scenario-given premium retained (no live OTC quote pulled)</t>
  </si>
  <si>
    <t xml:space="preserve">OTC dealer quote / Bloomberg OVML</t>
  </si>
  <si>
    <t xml:space="preserve">K_CALL</t>
  </si>
  <si>
    <t xml:space="preserve">1.1525 (ATM, placeholder)</t>
  </si>
  <si>
    <t xml:space="preserve">Live (set to live S0_in) — added for build-contract completeness; not used in the receivable decision</t>
  </si>
  <si>
    <t xml:space="preserve">PREM_CALL</t>
  </si>
  <si>
    <t xml:space="preserve">derived (put-call parity, placeholder)</t>
  </si>
  <si>
    <t xml:space="preserve">Indicative — added for build-contract completeness; not used in the receivable decision</t>
  </si>
  <si>
    <t xml:space="preserve">T_DAYS</t>
  </si>
  <si>
    <t xml:space="preserve">365</t>
  </si>
  <si>
    <t xml:space="preserve">Firm (contract term)</t>
  </si>
  <si>
    <t xml:space="preserve">Contract settlement date minus build date</t>
  </si>
  <si>
    <t xml:space="preserve">Note: K_CALL / PREM_CALL are placeholders. This scenario is receivable-only; the Options-Call tab exists to satisfy the build contract's put-and-call requirement and named-range completeness, not because a call hedge is recommended here.</t>
  </si>
  <si>
    <t xml:space="preserve">Legend / Key</t>
  </si>
  <si>
    <t xml:space="preserve">Color convention applied throughout this workbook</t>
  </si>
  <si>
    <t xml:space="preserve">Color</t>
  </si>
  <si>
    <t xml:space="preserve">Meaning</t>
  </si>
  <si>
    <t xml:space="preserve">Yellow = Inputs — hardcoded, analyst-editable assumptions and market quotes</t>
  </si>
  <si>
    <t xml:space="preserve">Blue = Assumptions — modeling conventions (day-count basis, step size) rarely changed</t>
  </si>
  <si>
    <t xml:space="preserve">Green = Formulas — every calculated cell; always references named ranges, never a bare cell address</t>
  </si>
  <si>
    <t xml:space="preserve">Gray = Outputs — final summary results meant for an executive read (strategy summary, validation checks)</t>
  </si>
  <si>
    <t xml:space="preserve">Named-Range Index</t>
  </si>
  <si>
    <t xml:space="preserve">Sheet!Cell</t>
  </si>
  <si>
    <t xml:space="preserve">Description</t>
  </si>
  <si>
    <t xml:space="preserve">Inputs!C5</t>
  </si>
  <si>
    <t xml:space="preserve">Foreign-currency notional (EUR receivable)</t>
  </si>
  <si>
    <t xml:space="preserve">Inputs!C6</t>
  </si>
  <si>
    <t xml:space="preserve">Spot exchange rate at inception (USD per EUR)</t>
  </si>
  <si>
    <t xml:space="preserve">Inputs!C7</t>
  </si>
  <si>
    <t xml:space="preserve">USD interest rate to settlement</t>
  </si>
  <si>
    <t xml:space="preserve">Inputs!C8</t>
  </si>
  <si>
    <t xml:space="preserve">EUR interest rate to settlement</t>
  </si>
  <si>
    <t xml:space="preserve">Inputs!C9</t>
  </si>
  <si>
    <t xml:space="preserve">Days to settlement</t>
  </si>
  <si>
    <t xml:space="preserve">BASIS_USD</t>
  </si>
  <si>
    <t xml:space="preserve">Inputs!C10</t>
  </si>
  <si>
    <t xml:space="preserve">USD day-count denominator (ACT/360)</t>
  </si>
  <si>
    <t xml:space="preserve">BASIS_FC</t>
  </si>
  <si>
    <t xml:space="preserve">Inputs!C11</t>
  </si>
  <si>
    <t xml:space="preserve">EUR day-count denominator (ACT/365)</t>
  </si>
  <si>
    <t xml:space="preserve">STEP_FRAC</t>
  </si>
  <si>
    <t xml:space="preserve">Inputs!C12</t>
  </si>
  <si>
    <t xml:space="preserve">Sensitivity grid step size (1%)</t>
  </si>
  <si>
    <t xml:space="preserve">DF_USD</t>
  </si>
  <si>
    <t xml:space="preserve">Inputs!C13</t>
  </si>
  <si>
    <t xml:space="preserve">USD accumulation factor</t>
  </si>
  <si>
    <t xml:space="preserve">DF_FC</t>
  </si>
  <si>
    <t xml:space="preserve">Inputs!C14</t>
  </si>
  <si>
    <t xml:space="preserve">EUR accumulation factor</t>
  </si>
  <si>
    <t xml:space="preserve">Inputs!C15</t>
  </si>
  <si>
    <t xml:space="preserve">Forward rate to settlement (derived, indicative)</t>
  </si>
  <si>
    <t xml:space="preserve">Inputs!C16</t>
  </si>
  <si>
    <t xml:space="preserve">Put option strike</t>
  </si>
  <si>
    <t xml:space="preserve">Inputs!C17</t>
  </si>
  <si>
    <t xml:space="preserve">Put premium, USD per 1 EUR</t>
  </si>
  <si>
    <t xml:space="preserve">FV_PREM_PUT</t>
  </si>
  <si>
    <t xml:space="preserve">Inputs!C18</t>
  </si>
  <si>
    <t xml:space="preserve">Future value of put premium at settlement</t>
  </si>
  <si>
    <t xml:space="preserve">Inputs!C19</t>
  </si>
  <si>
    <t xml:space="preserve">Call option strike (indicative placeholder)</t>
  </si>
  <si>
    <t xml:space="preserve">Inputs!C20</t>
  </si>
  <si>
    <t xml:space="preserve">Call premium (indicative, derived via put-call parity)</t>
  </si>
  <si>
    <t xml:space="preserve">FV_PREM_CALL</t>
  </si>
  <si>
    <t xml:space="preserve">Inputs!C21</t>
  </si>
  <si>
    <t xml:space="preserve">Future value of call premium at settlement</t>
  </si>
  <si>
    <t xml:space="preserve">USD_FWD</t>
  </si>
  <si>
    <t xml:space="preserve">Forward!C6</t>
  </si>
  <si>
    <t xml:space="preserve">Forward-hedge USD proceeds (locked-in)</t>
  </si>
  <si>
    <t xml:space="preserve">USD_MM</t>
  </si>
  <si>
    <t xml:space="preserve">MoneyMarket!C10</t>
  </si>
  <si>
    <t xml:space="preserve">Money-market-hedge USD proceeds</t>
  </si>
  <si>
    <t xml:space="preserve">USD_FLOOR_PUT</t>
  </si>
  <si>
    <t xml:space="preserve">Options_Put!C10</t>
  </si>
  <si>
    <t xml:space="preserve">Worst-case (floor) put outcome across the grid</t>
  </si>
  <si>
    <t xml:space="preserve">USD_CEILING_CALL</t>
  </si>
  <si>
    <t xml:space="preserve">Options_Call!C10</t>
  </si>
  <si>
    <t xml:space="preserve">Best-case (ceiling) call outcome across the grid</t>
  </si>
  <si>
    <t xml:space="preserve">Bold names above (FC_AMT through T_DAYS core set) are the ten named ranges required by the build contract: FC_AMT, S0_in, F0_in, R_USD, R_FC, K_PUT, K_CALL, PREM_PUT, PREM_CALL, T_DAYS.</t>
  </si>
  <si>
    <t xml:space="preserve">Inputs</t>
  </si>
  <si>
    <t xml:space="preserve">Named-range contract — the only tab an analyst edits for scenario work</t>
  </si>
  <si>
    <t xml:space="preserve">Value</t>
  </si>
  <si>
    <t xml:space="preserve">Unit</t>
  </si>
  <si>
    <t xml:space="preserve">Category</t>
  </si>
  <si>
    <t xml:space="preserve">Source / Notes</t>
  </si>
  <si>
    <t xml:space="preserve">EUR</t>
  </si>
  <si>
    <t xml:space="preserve">Input</t>
  </si>
  <si>
    <t xml:space="preserve">Spot exchange rate at inception</t>
  </si>
  <si>
    <t xml:space="preserve">USD/EUR</t>
  </si>
  <si>
    <t xml:space="preserve">Yahoo Finance EURUSD=X, live quote as of 2026-08-07 23:01:54 GMT+1 (1.1525; day range 1.1523-1.1526; prev close 1.1555)</t>
  </si>
  <si>
    <t xml:space="preserve">Annual %</t>
  </si>
  <si>
    <t xml:space="preserve">US Treasury Daily Par Yield Curve, 1 Yr CMT, 2026-08-07 (4.01%) — chosen over SOFR for a clean, freely available, official USD risk-free benchmark at the 1Y tenor</t>
  </si>
  <si>
    <t xml:space="preserve">12M Euribor, EMMI (via euribor-rates.eu, delayed 24h), most recent published fixing 2026-08-06 (2.884%) — chosen as the standard EUR-leg 1Y interbank reference matching R_USD tenor/purpose</t>
  </si>
  <si>
    <t xml:space="preserve">Days</t>
  </si>
  <si>
    <t xml:space="preserve">USD-leg day-count denominator</t>
  </si>
  <si>
    <t xml:space="preserve">Assumption</t>
  </si>
  <si>
    <t xml:space="preserve">Market convention (ACT/360)</t>
  </si>
  <si>
    <t xml:space="preserve">EUR-leg day-count denominator</t>
  </si>
  <si>
    <t xml:space="preserve">Market convention (ACT/365)</t>
  </si>
  <si>
    <t xml:space="preserve">Sensitivity grid step size</t>
  </si>
  <si>
    <t xml:space="preserve">% of S0_in</t>
  </si>
  <si>
    <t xml:space="preserve">Drives an even ±5% grid in 1% steps (§6)</t>
  </si>
  <si>
    <t xml:space="preserve">USD accumulation factor to settlement</t>
  </si>
  <si>
    <t xml:space="preserve">factor</t>
  </si>
  <si>
    <t xml:space="preserve">Formula</t>
  </si>
  <si>
    <t xml:space="preserve">Note: 1 + R_USD × T_DAYS / BASIS_USD</t>
  </si>
  <si>
    <t xml:space="preserve">EUR accumulation factor to settlement</t>
  </si>
  <si>
    <t xml:space="preserve">Note: 1 + R_FC × T_DAYS / BASIS_FC</t>
  </si>
  <si>
    <t xml:space="preserve">Forward rate to settlement (365 days)</t>
  </si>
  <si>
    <t xml:space="preserve">Note: S0_in × DF_USD / DF_FC (indicative; live quote at Phase 4)</t>
  </si>
  <si>
    <t xml:space="preserve">Set to live S0_in (ATM) per scenario strike convention; desk quote proxy</t>
  </si>
  <si>
    <t xml:space="preserve">USD</t>
  </si>
  <si>
    <t xml:space="preserve">Scenario-given premium retained as an assumption (see market-data memo) — no live OTC quote pulled</t>
  </si>
  <si>
    <t xml:space="preserve">Note: −PREM_PUT × FC_AMT × DF_USD</t>
  </si>
  <si>
    <t xml:space="preserve">Set to live S0_in (ATM placeholder); build-contract completeness only, not used in receivable decision</t>
  </si>
  <si>
    <t xml:space="preserve">Call premium, USD per 1 EUR (indicative placeholder)</t>
  </si>
  <si>
    <t xml:space="preserve">Note: PREM_PUT + (F0_in − K_CALL) / DF_USD  (put-call parity)</t>
  </si>
  <si>
    <t xml:space="preserve">Note: −PREM_CALL × FC_AMT × DF_USD</t>
  </si>
  <si>
    <t xml:space="preserve">Forward Hedge</t>
  </si>
  <si>
    <t xml:space="preserve">Contract today to sell EUR at a locked rate on the settlement date</t>
  </si>
  <si>
    <t xml:space="preserve">Mechanics</t>
  </si>
  <si>
    <t xml:space="preserve">Sell EUR forward today at F0_in; USD proceeds are locked in and invariant to the settlement-date spot rate.</t>
  </si>
  <si>
    <t xml:space="preserve">USD_FWD = FC_AMT × F0_in</t>
  </si>
  <si>
    <t xml:space="preserve">USD_FWD (locked-in USD proceeds)</t>
  </si>
  <si>
    <t xml:space="preserve">Note: this figure is invariant across the S_T sensitivity grid — that is the point of a forward.</t>
  </si>
  <si>
    <t xml:space="preserve">Money-Market Hedge</t>
  </si>
  <si>
    <t xml:space="preserve">Borrow EUR today, convert at spot, invest the USD — a synthetic forward</t>
  </si>
  <si>
    <t xml:space="preserve">Step 1 — Borrow EUR today</t>
  </si>
  <si>
    <t xml:space="preserve">EUR_BORROWED = FC_AMT / DF_FC</t>
  </si>
  <si>
    <t xml:space="preserve">Step 2 — Convert to USD at spot</t>
  </si>
  <si>
    <t xml:space="preserve">USD_CONVERTED = EUR_BORROWED × S0_in</t>
  </si>
  <si>
    <t xml:space="preserve">Step 3 — Invest the USD to maturity</t>
  </si>
  <si>
    <t xml:space="preserve">USD_MM = USD_CONVERTED × DF_USD</t>
  </si>
  <si>
    <t xml:space="preserve">Parity Check</t>
  </si>
  <si>
    <t xml:space="preserve">USD_MM − USD_FWD</t>
  </si>
  <si>
    <t xml:space="preserve">% difference</t>
  </si>
  <si>
    <t xml:space="preserve">Parity check (pass if within 0.05%)</t>
  </si>
  <si>
    <t xml:space="preserve">Option Hedge — Put (Floor with Upside)</t>
  </si>
  <si>
    <t xml:space="preserve">Buy the right, not the obligation, to sell EUR at K_PUT</t>
  </si>
  <si>
    <t xml:space="preserve">Payoff function (applies to every S_T on the Sensitivity grid)</t>
  </si>
  <si>
    <t xml:space="preserve">USD_PUT(S_T) = MAX(S_T, K_PUT) × FC_AMT + FV_PREM_PUT</t>
  </si>
  <si>
    <t xml:space="preserve">Premium paid today = PREM_PUT × FC_AMT</t>
  </si>
  <si>
    <t xml:space="preserve">Baseline (S_T = S0_in)</t>
  </si>
  <si>
    <t xml:space="preserve">USD_FLOOR_PUT = MIN across S_T grid</t>
  </si>
  <si>
    <t xml:space="preserve">Kink verification: at S_T = K_PUT, USD_PUT should equal K_PUT × FC_AMT + FV_PREM_PUT exactly.</t>
  </si>
  <si>
    <t xml:space="preserve">Kink check (baseline row, since K_PUT = S0_in)</t>
  </si>
  <si>
    <t xml:space="preserve">Option Hedge — Call (placeholder, architecture symmetry)</t>
  </si>
  <si>
    <t xml:space="preserve">Not used in the receivable recommendation — built to satisfy the put-and-call build contract</t>
  </si>
  <si>
    <t xml:space="preserve">This scenario is a EUR receivable; the protective option family is the put (Options_Put tab). This tab exists so the K_CALL / PREM_CALL named ranges are attached to live formulas and a call payoff is computed as a function of S_T, per the build contract.</t>
  </si>
  <si>
    <t xml:space="preserve">USD_CALL(S_T) = MIN(S_T, K_CALL) × FC_AMT + FV_PREM_CALL</t>
  </si>
  <si>
    <t xml:space="preserve">Premium paid today = PREM_CALL × FC_AMT</t>
  </si>
  <si>
    <t xml:space="preserve">USD_CEILING_CALL = MAX across S_T grid</t>
  </si>
  <si>
    <t xml:space="preserve">Sensitivity Table</t>
  </si>
  <si>
    <t xml:space="preserve">S_T grid: S0_in × (1 ± 5%) in 1% steps, formula-driven — no hand-typed rows</t>
  </si>
  <si>
    <t xml:space="preserve">n</t>
  </si>
  <si>
    <t xml:space="preserve">S_T</t>
  </si>
  <si>
    <t xml:space="preserve">USD_NO_HEDGE</t>
  </si>
  <si>
    <t xml:space="preserve">USD_PUT</t>
  </si>
  <si>
    <t xml:space="preserve">USD_CALL</t>
  </si>
  <si>
    <t xml:space="preserve">HP_Forward</t>
  </si>
  <si>
    <t xml:space="preserve">HP_MoneyMkt</t>
  </si>
  <si>
    <t xml:space="preserve">HP_Put</t>
  </si>
  <si>
    <t xml:space="preserve">Winner (all)</t>
  </si>
  <si>
    <t xml:space="preserve">Best active hedge</t>
  </si>
  <si>
    <t xml:space="preserve">Grid check: mean(S_T) should equal S0_in (symmetry)</t>
  </si>
  <si>
    <t xml:space="preserve">Grid symmetry check</t>
  </si>
  <si>
    <t xml:space="preserve">Notes, Assumptions &amp; Validation</t>
  </si>
  <si>
    <t xml:space="preserve">Data sources, modeling conventions, and the Phase-3 audit checklist</t>
  </si>
  <si>
    <t xml:space="preserve">Validation Checks (Spec §7)</t>
  </si>
  <si>
    <t xml:space="preserve">Check</t>
  </si>
  <si>
    <t xml:space="preserve">Result</t>
  </si>
  <si>
    <t xml:space="preserve">Formula source</t>
  </si>
  <si>
    <t xml:space="preserve">Parity check: USD_MM ties to USD_FWD within 0.05%</t>
  </si>
  <si>
    <t xml:space="preserve">MoneyMarket tab</t>
  </si>
  <si>
    <t xml:space="preserve">Put kink check at S_T = K_PUT</t>
  </si>
  <si>
    <t xml:space="preserve">Options_Put tab</t>
  </si>
  <si>
    <t xml:space="preserve">Sensitivity grid symmetric around S0_in, driven by STEP_FRAC</t>
  </si>
  <si>
    <t xml:space="preserve">Sensitivity tab</t>
  </si>
  <si>
    <t xml:space="preserve">No formula errors anywhere in the workbook</t>
  </si>
  <si>
    <t xml:space="preserve">PASS</t>
  </si>
  <si>
    <t xml:space="preserve">Verified via scripts/recalc.py (LibreOffice recalculation) at build time</t>
  </si>
  <si>
    <t xml:space="preserve">Every calculated cell is a formula referencing named ranges (no hard-coded results, no bare cell refs)</t>
  </si>
  <si>
    <t xml:space="preserve">Manual review — see analysis/2026-08-07-Badua-build-audit.md</t>
  </si>
  <si>
    <t xml:space="preserve">Assumptions &amp; Constraints</t>
  </si>
  <si>
    <t xml:space="preserve">• Quote convention: all rates USD per EUR; a higher quote means EUR appreciation.</t>
  </si>
  <si>
    <t xml:space="preserve">• Horizon: single-maturity model, T_DAYS = 365.</t>
  </si>
  <si>
    <t xml:space="preserve">• Day-count basis: DF_USD uses BASIS_USD = 360 (ACT/360); DF_FC uses BASIS_FC = 365 (ACT/365), split from the outset.</t>
  </si>
  <si>
    <t xml:space="preserve">• Parity: the money-market hedge is assumed to replicate the forward hedge under covered interest-rate parity.</t>
  </si>
  <si>
    <t xml:space="preserve">• Option premium: paid upfront in USD, quoted per 1 unit of EUR; carried forward at R_USD to settlement.</t>
  </si>
  <si>
    <t xml:space="preserve">• Counterparty / credit risk excluded; all derivatives assumed frictionless and creditworthy.</t>
  </si>
  <si>
    <t xml:space="preserve">• Transaction costs and bid-ask spreads excluded from the base case.</t>
  </si>
  <si>
    <t xml:space="preserve">• Tax / accounting treatment excluded — pre-tax cash outcomes only.</t>
  </si>
  <si>
    <t xml:space="preserve">• S_T is varied deterministically across the grid; no probability weights or implied-volatility distribution applied.</t>
  </si>
  <si>
    <t xml:space="preserve">• K_CALL / PREM_CALL are indicative placeholders added for build-contract completeness; the exposure is receivable-only and the call family is not part of the recommendation.</t>
  </si>
  <si>
    <t xml:space="preserve">Change Log</t>
  </si>
  <si>
    <t xml:space="preserve">Version</t>
  </si>
  <si>
    <t xml:space="preserve">Date</t>
  </si>
  <si>
    <t xml:space="preserve">Change</t>
  </si>
  <si>
    <t xml:space="preserve">1.0</t>
  </si>
  <si>
    <t xml:space="preserve">Initial workbook build from docs/specs/2026-08-07-Badua-pharma-exporter-spec.md. AI-assisted (Claude) generation, hand-audited — see analysis/2026-08-07-Badua-build-audit.md and prompt-log.md.</t>
  </si>
  <si>
    <t xml:space="preserve">Phase 4: replaced placeholder inputs (S0_in, R_USD, R_FC, K_PUT, K_CALL) with live market data retrieved 2026-08-07; PREM_PUT retained as scenario assumption; F0_in remains CIP-derived (no live outright forward quote found in free sources). Cross-checked against the FX Hedging Lab (adamwstauffer.github.io/ai-lms/fxlab.html): its uniform T/360 day-count convention vs. this workbook's ACT/360-USD/ACT/365-EUR split produces a reconciled ~$3,629 (0.039%) difference on USD_FWD/USD_MM at live inputs — both tools internally parity-consistent, no workbook change needed. See data/2026-08-07-Badua-market-data.md for full resolution.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</si>
</sst>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"/>
    <numFmt numFmtId="166" formatCode="0.0000"/>
    <numFmt numFmtId="167" formatCode="0.00%"/>
    <numFmt numFmtId="168" formatCode="0"/>
    <numFmt numFmtId="169" formatCode="\$#,##0.00;&quot;($&quot;#,##0.00\)"/>
    <numFmt numFmtId="170" formatCode="#,##0&quot; EUR&quot;"/>
    <numFmt numFmtId="171" formatCode="0.00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24731"/>
      <name val="Arial"/>
      <family val="0"/>
      <charset val="1"/>
    </font>
    <font>
      <i val="true"/>
      <sz val="11"/>
      <color rgb="FF525252"/>
      <name val="Arial"/>
      <family val="0"/>
      <charset val="1"/>
    </font>
    <font>
      <b val="true"/>
      <sz val="11"/>
      <color rgb="FF02473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25252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13D26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525252"/>
      <rgbColor rgb="FF969696"/>
      <rgbColor rgb="FF024731"/>
      <rgbColor rgb="FF339966"/>
      <rgbColor rgb="FF013D2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 Outcome vs. Ending Spot (S_T) — pharma-exporter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Sensitivity!C4</c:f>
              <c:strCache>
                <c:ptCount val="1"/>
                <c:pt idx="0">
                  <c:v>USD_NO_HEDGE</c:v>
                </c:pt>
              </c:strCache>
            </c:strRef>
          </c:tx>
          <c:spPr>
            <a:solidFill>
              <a:srgbClr val="000000"/>
            </a:solidFill>
            <a:ln w="201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1.0949</c:v>
                </c:pt>
                <c:pt idx="1">
                  <c:v>1.1064</c:v>
                </c:pt>
                <c:pt idx="2">
                  <c:v>1.1179</c:v>
                </c:pt>
                <c:pt idx="3">
                  <c:v>1.1295</c:v>
                </c:pt>
                <c:pt idx="4">
                  <c:v>1.1410</c:v>
                </c:pt>
                <c:pt idx="5">
                  <c:v>1.1525</c:v>
                </c:pt>
                <c:pt idx="6">
                  <c:v>1.1640</c:v>
                </c:pt>
                <c:pt idx="7">
                  <c:v>1.1756</c:v>
                </c:pt>
                <c:pt idx="8">
                  <c:v>1.1871</c:v>
                </c:pt>
                <c:pt idx="9">
                  <c:v>1.1986</c:v>
                </c:pt>
                <c:pt idx="10">
                  <c:v>1.2101</c:v>
                </c:pt>
              </c:strCache>
            </c:strRef>
          </c:cat>
          <c:val>
            <c:numRef>
              <c:f>Sensitivity!$C$5:$C$15</c:f>
              <c:numCache>
                <c:formatCode>\$#,##0;"($"#,##0\)</c:formatCode>
                <c:ptCount val="11"/>
                <c:pt idx="0">
                  <c:v>8759000</c:v>
                </c:pt>
                <c:pt idx="1">
                  <c:v>8851200</c:v>
                </c:pt>
                <c:pt idx="2">
                  <c:v>8943400</c:v>
                </c:pt>
                <c:pt idx="3">
                  <c:v>9035600</c:v>
                </c:pt>
                <c:pt idx="4">
                  <c:v>9127800</c:v>
                </c:pt>
                <c:pt idx="5">
                  <c:v>9220000</c:v>
                </c:pt>
                <c:pt idx="6">
                  <c:v>9312200</c:v>
                </c:pt>
                <c:pt idx="7">
                  <c:v>9404400</c:v>
                </c:pt>
                <c:pt idx="8">
                  <c:v>9496600</c:v>
                </c:pt>
                <c:pt idx="9">
                  <c:v>9588800</c:v>
                </c:pt>
                <c:pt idx="10">
                  <c:v>9681000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Sensitivity!D4</c:f>
              <c:strCache>
                <c:ptCount val="1"/>
                <c:pt idx="0">
                  <c:v>USD_FWD</c:v>
                </c:pt>
              </c:strCache>
            </c:strRef>
          </c:tx>
          <c:spPr>
            <a:solidFill>
              <a:srgbClr val="024731"/>
            </a:solidFill>
            <a:ln w="20160">
              <a:solidFill>
                <a:srgbClr val="0247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1.0949</c:v>
                </c:pt>
                <c:pt idx="1">
                  <c:v>1.1064</c:v>
                </c:pt>
                <c:pt idx="2">
                  <c:v>1.1179</c:v>
                </c:pt>
                <c:pt idx="3">
                  <c:v>1.1295</c:v>
                </c:pt>
                <c:pt idx="4">
                  <c:v>1.1410</c:v>
                </c:pt>
                <c:pt idx="5">
                  <c:v>1.1525</c:v>
                </c:pt>
                <c:pt idx="6">
                  <c:v>1.1640</c:v>
                </c:pt>
                <c:pt idx="7">
                  <c:v>1.1756</c:v>
                </c:pt>
                <c:pt idx="8">
                  <c:v>1.1871</c:v>
                </c:pt>
                <c:pt idx="9">
                  <c:v>1.1986</c:v>
                </c:pt>
                <c:pt idx="10">
                  <c:v>1.2101</c:v>
                </c:pt>
              </c:strCache>
            </c:strRef>
          </c:cat>
          <c:val>
            <c:numRef>
              <c:f>Sensitivity!$D$5:$D$15</c:f>
              <c:numCache>
                <c:formatCode>\$#,##0;"($"#,##0\)</c:formatCode>
                <c:ptCount val="11"/>
                <c:pt idx="0">
                  <c:v>9325898.12582888</c:v>
                </c:pt>
                <c:pt idx="1">
                  <c:v>9325898.12582888</c:v>
                </c:pt>
                <c:pt idx="2">
                  <c:v>9325898.12582888</c:v>
                </c:pt>
                <c:pt idx="3">
                  <c:v>9325898.12582888</c:v>
                </c:pt>
                <c:pt idx="4">
                  <c:v>9325898.12582888</c:v>
                </c:pt>
                <c:pt idx="5">
                  <c:v>9325898.12582888</c:v>
                </c:pt>
                <c:pt idx="6">
                  <c:v>9325898.12582888</c:v>
                </c:pt>
                <c:pt idx="7">
                  <c:v>9325898.12582888</c:v>
                </c:pt>
                <c:pt idx="8">
                  <c:v>9325898.12582888</c:v>
                </c:pt>
                <c:pt idx="9">
                  <c:v>9325898.12582888</c:v>
                </c:pt>
                <c:pt idx="10">
                  <c:v>9325898.12582888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Sensitivity!E4</c:f>
              <c:strCache>
                <c:ptCount val="1"/>
                <c:pt idx="0">
                  <c:v>USD_MM</c:v>
                </c:pt>
              </c:strCache>
            </c:strRef>
          </c:tx>
          <c:spPr>
            <a:solidFill>
              <a:srgbClr val="013d26"/>
            </a:solidFill>
            <a:ln w="20160">
              <a:solidFill>
                <a:srgbClr val="013d2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1.0949</c:v>
                </c:pt>
                <c:pt idx="1">
                  <c:v>1.1064</c:v>
                </c:pt>
                <c:pt idx="2">
                  <c:v>1.1179</c:v>
                </c:pt>
                <c:pt idx="3">
                  <c:v>1.1295</c:v>
                </c:pt>
                <c:pt idx="4">
                  <c:v>1.1410</c:v>
                </c:pt>
                <c:pt idx="5">
                  <c:v>1.1525</c:v>
                </c:pt>
                <c:pt idx="6">
                  <c:v>1.1640</c:v>
                </c:pt>
                <c:pt idx="7">
                  <c:v>1.1756</c:v>
                </c:pt>
                <c:pt idx="8">
                  <c:v>1.1871</c:v>
                </c:pt>
                <c:pt idx="9">
                  <c:v>1.1986</c:v>
                </c:pt>
                <c:pt idx="10">
                  <c:v>1.2101</c:v>
                </c:pt>
              </c:strCache>
            </c:strRef>
          </c:cat>
          <c:val>
            <c:numRef>
              <c:f>Sensitivity!$E$5:$E$15</c:f>
              <c:numCache>
                <c:formatCode>\$#,##0;"($"#,##0\)</c:formatCode>
                <c:ptCount val="11"/>
                <c:pt idx="0">
                  <c:v>9325898.12582888</c:v>
                </c:pt>
                <c:pt idx="1">
                  <c:v>9325898.12582888</c:v>
                </c:pt>
                <c:pt idx="2">
                  <c:v>9325898.12582888</c:v>
                </c:pt>
                <c:pt idx="3">
                  <c:v>9325898.12582888</c:v>
                </c:pt>
                <c:pt idx="4">
                  <c:v>9325898.12582888</c:v>
                </c:pt>
                <c:pt idx="5">
                  <c:v>9325898.12582888</c:v>
                </c:pt>
                <c:pt idx="6">
                  <c:v>9325898.12582888</c:v>
                </c:pt>
                <c:pt idx="7">
                  <c:v>9325898.12582888</c:v>
                </c:pt>
                <c:pt idx="8">
                  <c:v>9325898.12582888</c:v>
                </c:pt>
                <c:pt idx="9">
                  <c:v>9325898.12582888</c:v>
                </c:pt>
                <c:pt idx="10">
                  <c:v>9325898.12582888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Sensitivity!F4</c:f>
              <c:strCache>
                <c:ptCount val="1"/>
                <c:pt idx="0">
                  <c:v>USD_PUT</c:v>
                </c:pt>
              </c:strCache>
            </c:strRef>
          </c:tx>
          <c:spPr>
            <a:solidFill>
              <a:srgbClr val="525252"/>
            </a:solidFill>
            <a:ln w="20160">
              <a:solidFill>
                <a:srgbClr val="525252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1.0949</c:v>
                </c:pt>
                <c:pt idx="1">
                  <c:v>1.1064</c:v>
                </c:pt>
                <c:pt idx="2">
                  <c:v>1.1179</c:v>
                </c:pt>
                <c:pt idx="3">
                  <c:v>1.1295</c:v>
                </c:pt>
                <c:pt idx="4">
                  <c:v>1.1410</c:v>
                </c:pt>
                <c:pt idx="5">
                  <c:v>1.1525</c:v>
                </c:pt>
                <c:pt idx="6">
                  <c:v>1.1640</c:v>
                </c:pt>
                <c:pt idx="7">
                  <c:v>1.1756</c:v>
                </c:pt>
                <c:pt idx="8">
                  <c:v>1.1871</c:v>
                </c:pt>
                <c:pt idx="9">
                  <c:v>1.1986</c:v>
                </c:pt>
                <c:pt idx="10">
                  <c:v>1.2101</c:v>
                </c:pt>
              </c:strCache>
            </c:strRef>
          </c:cat>
          <c:val>
            <c:numRef>
              <c:f>Sensitivity!$F$5:$F$15</c:f>
              <c:numCache>
                <c:formatCode>\$#,##0;"($"#,##0\)</c:formatCode>
                <c:ptCount val="11"/>
                <c:pt idx="0">
                  <c:v>9045169.63333333</c:v>
                </c:pt>
                <c:pt idx="1">
                  <c:v>9045169.63333333</c:v>
                </c:pt>
                <c:pt idx="2">
                  <c:v>9045169.63333333</c:v>
                </c:pt>
                <c:pt idx="3">
                  <c:v>9045169.63333333</c:v>
                </c:pt>
                <c:pt idx="4">
                  <c:v>9045169.63333333</c:v>
                </c:pt>
                <c:pt idx="5">
                  <c:v>9045169.63333333</c:v>
                </c:pt>
                <c:pt idx="6">
                  <c:v>9137369.63333333</c:v>
                </c:pt>
                <c:pt idx="7">
                  <c:v>9229569.63333333</c:v>
                </c:pt>
                <c:pt idx="8">
                  <c:v>9321769.63333333</c:v>
                </c:pt>
                <c:pt idx="9">
                  <c:v>9413969.63333333</c:v>
                </c:pt>
                <c:pt idx="10">
                  <c:v>9506169.63333334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270989"/>
        <c:axId val="26641591"/>
      </c:lineChart>
      <c:catAx>
        <c:axId val="462709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S_T (USD per 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41591"/>
        <c:crosses val="autoZero"/>
        <c:auto val="1"/>
        <c:lblAlgn val="ctr"/>
        <c:lblOffset val="100"/>
        <c:noMultiLvlLbl val="0"/>
      </c:catAx>
      <c:valAx>
        <c:axId val="26641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709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18360</xdr:rowOff>
    </xdr:from>
    <xdr:to>
      <xdr:col>9</xdr:col>
      <xdr:colOff>588240</xdr:colOff>
      <xdr:row>34</xdr:row>
      <xdr:rowOff>188280</xdr:rowOff>
    </xdr:to>
    <xdr:graphicFrame>
      <xdr:nvGraphicFramePr>
        <xdr:cNvPr id="0" name="Chart 1"/>
        <xdr:cNvGraphicFramePr/>
      </xdr:nvGraphicFramePr>
      <xdr:xfrm>
        <a:off x="916200" y="3228120"/>
        <a:ext cx="791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6"/>
    <col collapsed="false" customWidth="true" hidden="false" outlineLevel="0" max="3" min="3" style="1" width="20"/>
    <col collapsed="false" customWidth="true" hidden="false" outlineLevel="0" max="4" min="4" style="1" width="24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6" customFormat="false" ht="15" hidden="false" customHeight="true" outlineLevel="0" collapsed="false">
      <c r="A6" s="5" t="s">
        <v>3</v>
      </c>
      <c r="B6" s="6" t="s">
        <v>4</v>
      </c>
    </row>
    <row r="7" customFormat="false" ht="15" hidden="false" customHeight="true" outlineLevel="0" collapsed="false">
      <c r="A7" s="5" t="s">
        <v>5</v>
      </c>
      <c r="B7" s="6" t="s">
        <v>6</v>
      </c>
    </row>
    <row r="8" customFormat="false" ht="15" hidden="false" customHeight="true" outlineLevel="0" collapsed="false">
      <c r="A8" s="5" t="s">
        <v>7</v>
      </c>
      <c r="B8" s="6" t="s">
        <v>8</v>
      </c>
    </row>
    <row r="9" customFormat="false" ht="15" hidden="false" customHeight="true" outlineLevel="0" collapsed="false">
      <c r="A9" s="5" t="s">
        <v>9</v>
      </c>
      <c r="B9" s="6" t="s">
        <v>10</v>
      </c>
    </row>
    <row r="10" customFormat="false" ht="15" hidden="false" customHeight="true" outlineLevel="0" collapsed="false">
      <c r="A10" s="5" t="s">
        <v>11</v>
      </c>
      <c r="B10" s="6" t="s">
        <v>12</v>
      </c>
    </row>
    <row r="11" customFormat="false" ht="15" hidden="false" customHeight="true" outlineLevel="0" collapsed="false">
      <c r="A11" s="5" t="s">
        <v>13</v>
      </c>
      <c r="B11" s="6" t="s">
        <v>14</v>
      </c>
    </row>
    <row r="12" customFormat="false" ht="15" hidden="false" customHeight="true" outlineLevel="0" collapsed="false">
      <c r="A12" s="5" t="s">
        <v>15</v>
      </c>
      <c r="B12" s="6" t="s">
        <v>16</v>
      </c>
    </row>
    <row r="14" customFormat="false" ht="15" hidden="false" customHeight="true" outlineLevel="0" collapsed="false">
      <c r="A14" s="4" t="s">
        <v>17</v>
      </c>
    </row>
    <row r="15" customFormat="false" ht="15" hidden="false" customHeight="true" outlineLevel="0" collapsed="false">
      <c r="A15" s="7" t="s">
        <v>18</v>
      </c>
      <c r="B15" s="7" t="s">
        <v>19</v>
      </c>
      <c r="C15" s="7" t="s">
        <v>20</v>
      </c>
      <c r="D15" s="7" t="s">
        <v>21</v>
      </c>
    </row>
    <row r="16" customFormat="false" ht="15" hidden="false" customHeight="true" outlineLevel="0" collapsed="false">
      <c r="A16" s="8" t="s">
        <v>22</v>
      </c>
      <c r="B16" s="9" t="s">
        <v>23</v>
      </c>
      <c r="C16" s="9" t="s">
        <v>24</v>
      </c>
      <c r="D16" s="9" t="s">
        <v>25</v>
      </c>
    </row>
    <row r="17" customFormat="false" ht="15" hidden="false" customHeight="true" outlineLevel="0" collapsed="false">
      <c r="A17" s="8" t="s">
        <v>26</v>
      </c>
      <c r="B17" s="9" t="s">
        <v>27</v>
      </c>
      <c r="C17" s="9" t="s">
        <v>28</v>
      </c>
      <c r="D17" s="9" t="s">
        <v>29</v>
      </c>
    </row>
    <row r="18" customFormat="false" ht="15" hidden="false" customHeight="true" outlineLevel="0" collapsed="false">
      <c r="A18" s="8" t="s">
        <v>30</v>
      </c>
      <c r="B18" s="9" t="s">
        <v>31</v>
      </c>
      <c r="C18" s="9" t="s">
        <v>32</v>
      </c>
      <c r="D18" s="9" t="s">
        <v>33</v>
      </c>
    </row>
    <row r="19" customFormat="false" ht="15" hidden="false" customHeight="true" outlineLevel="0" collapsed="false">
      <c r="A19" s="8" t="s">
        <v>34</v>
      </c>
      <c r="B19" s="9" t="s">
        <v>35</v>
      </c>
      <c r="C19" s="9" t="s">
        <v>28</v>
      </c>
      <c r="D19" s="9" t="s">
        <v>36</v>
      </c>
    </row>
    <row r="20" customFormat="false" ht="15" hidden="false" customHeight="true" outlineLevel="0" collapsed="false">
      <c r="A20" s="8" t="s">
        <v>37</v>
      </c>
      <c r="B20" s="9" t="s">
        <v>38</v>
      </c>
      <c r="C20" s="9" t="s">
        <v>39</v>
      </c>
      <c r="D20" s="9" t="s">
        <v>40</v>
      </c>
    </row>
    <row r="21" customFormat="false" ht="15" hidden="false" customHeight="true" outlineLevel="0" collapsed="false">
      <c r="A21" s="8" t="s">
        <v>41</v>
      </c>
      <c r="B21" s="9" t="s">
        <v>42</v>
      </c>
      <c r="C21" s="9" t="s">
        <v>43</v>
      </c>
      <c r="D21" s="9" t="s">
        <v>44</v>
      </c>
    </row>
    <row r="22" customFormat="false" ht="15" hidden="false" customHeight="true" outlineLevel="0" collapsed="false">
      <c r="A22" s="8" t="s">
        <v>45</v>
      </c>
      <c r="B22" s="9" t="s">
        <v>46</v>
      </c>
      <c r="C22" s="9" t="s">
        <v>47</v>
      </c>
      <c r="D22" s="9" t="s">
        <v>48</v>
      </c>
    </row>
    <row r="23" customFormat="false" ht="15" hidden="false" customHeight="true" outlineLevel="0" collapsed="false">
      <c r="A23" s="8" t="s">
        <v>49</v>
      </c>
      <c r="B23" s="9" t="s">
        <v>50</v>
      </c>
      <c r="C23" s="9" t="s">
        <v>51</v>
      </c>
      <c r="D23" s="9" t="s">
        <v>44</v>
      </c>
    </row>
    <row r="24" customFormat="false" ht="15" hidden="false" customHeight="true" outlineLevel="0" collapsed="false">
      <c r="A24" s="8" t="s">
        <v>52</v>
      </c>
      <c r="B24" s="9" t="s">
        <v>53</v>
      </c>
      <c r="C24" s="9" t="s">
        <v>54</v>
      </c>
      <c r="D24" s="9" t="s">
        <v>48</v>
      </c>
    </row>
    <row r="25" customFormat="false" ht="15" hidden="false" customHeight="true" outlineLevel="0" collapsed="false">
      <c r="A25" s="8" t="s">
        <v>55</v>
      </c>
      <c r="B25" s="9" t="s">
        <v>56</v>
      </c>
      <c r="C25" s="9" t="s">
        <v>57</v>
      </c>
      <c r="D25" s="9" t="s">
        <v>58</v>
      </c>
    </row>
    <row r="27" customFormat="false" ht="30" hidden="false" customHeight="true" outlineLevel="0" collapsed="false">
      <c r="A27" s="10" t="s">
        <v>59</v>
      </c>
      <c r="B27" s="10"/>
      <c r="C27" s="10"/>
      <c r="D27" s="10"/>
    </row>
  </sheetData>
  <mergeCells count="1"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0"/>
  </cols>
  <sheetData>
    <row r="1" customFormat="false" ht="19.5" hidden="false" customHeight="true" outlineLevel="0" collapsed="false">
      <c r="A1" s="2" t="s">
        <v>60</v>
      </c>
    </row>
    <row r="2" customFormat="false" ht="15" hidden="false" customHeight="true" outlineLevel="0" collapsed="false">
      <c r="A2" s="3" t="s">
        <v>61</v>
      </c>
    </row>
    <row r="4" customFormat="false" ht="15" hidden="false" customHeight="true" outlineLevel="0" collapsed="false">
      <c r="A4" s="4" t="s">
        <v>62</v>
      </c>
      <c r="B4" s="4" t="s">
        <v>63</v>
      </c>
    </row>
    <row r="5" customFormat="false" ht="19.5" hidden="false" customHeight="true" outlineLevel="0" collapsed="false">
      <c r="A5" s="11"/>
      <c r="B5" s="6" t="s">
        <v>64</v>
      </c>
    </row>
    <row r="7" customFormat="false" ht="19.5" hidden="false" customHeight="true" outlineLevel="0" collapsed="false">
      <c r="A7" s="12"/>
      <c r="B7" s="6" t="s">
        <v>65</v>
      </c>
    </row>
    <row r="9" customFormat="false" ht="19.5" hidden="false" customHeight="true" outlineLevel="0" collapsed="false">
      <c r="A9" s="13"/>
      <c r="B9" s="6" t="s">
        <v>66</v>
      </c>
    </row>
    <row r="11" customFormat="false" ht="19.5" hidden="false" customHeight="true" outlineLevel="0" collapsed="false">
      <c r="A11" s="14"/>
      <c r="B11" s="6" t="s">
        <v>67</v>
      </c>
    </row>
    <row r="14" customFormat="false" ht="15" hidden="false" customHeight="true" outlineLevel="0" collapsed="false">
      <c r="A14" s="4" t="s">
        <v>68</v>
      </c>
    </row>
    <row r="15" customFormat="false" ht="15" hidden="false" customHeight="true" outlineLevel="0" collapsed="false">
      <c r="A15" s="7" t="s">
        <v>18</v>
      </c>
      <c r="B15" s="7" t="s">
        <v>69</v>
      </c>
      <c r="C15" s="7" t="s">
        <v>70</v>
      </c>
      <c r="D15" s="7"/>
    </row>
    <row r="16" customFormat="false" ht="15" hidden="false" customHeight="true" outlineLevel="0" collapsed="false">
      <c r="A16" s="8" t="s">
        <v>22</v>
      </c>
      <c r="B16" s="9" t="s">
        <v>71</v>
      </c>
      <c r="C16" s="9" t="s">
        <v>72</v>
      </c>
      <c r="D16" s="9"/>
    </row>
    <row r="17" customFormat="false" ht="15" hidden="false" customHeight="true" outlineLevel="0" collapsed="false">
      <c r="A17" s="8" t="s">
        <v>26</v>
      </c>
      <c r="B17" s="9" t="s">
        <v>73</v>
      </c>
      <c r="C17" s="9" t="s">
        <v>74</v>
      </c>
      <c r="D17" s="9"/>
    </row>
    <row r="18" customFormat="false" ht="15" hidden="false" customHeight="true" outlineLevel="0" collapsed="false">
      <c r="A18" s="8" t="s">
        <v>34</v>
      </c>
      <c r="B18" s="9" t="s">
        <v>75</v>
      </c>
      <c r="C18" s="9" t="s">
        <v>76</v>
      </c>
      <c r="D18" s="9"/>
    </row>
    <row r="19" customFormat="false" ht="15" hidden="false" customHeight="true" outlineLevel="0" collapsed="false">
      <c r="A19" s="8" t="s">
        <v>37</v>
      </c>
      <c r="B19" s="9" t="s">
        <v>77</v>
      </c>
      <c r="C19" s="9" t="s">
        <v>78</v>
      </c>
      <c r="D19" s="9"/>
    </row>
    <row r="20" customFormat="false" ht="15" hidden="false" customHeight="true" outlineLevel="0" collapsed="false">
      <c r="A20" s="8" t="s">
        <v>55</v>
      </c>
      <c r="B20" s="9" t="s">
        <v>79</v>
      </c>
      <c r="C20" s="9" t="s">
        <v>80</v>
      </c>
      <c r="D20" s="9"/>
    </row>
    <row r="21" customFormat="false" ht="15" hidden="false" customHeight="true" outlineLevel="0" collapsed="false">
      <c r="A21" s="8" t="s">
        <v>81</v>
      </c>
      <c r="B21" s="9" t="s">
        <v>82</v>
      </c>
      <c r="C21" s="9" t="s">
        <v>83</v>
      </c>
      <c r="D21" s="9"/>
    </row>
    <row r="22" customFormat="false" ht="15" hidden="false" customHeight="true" outlineLevel="0" collapsed="false">
      <c r="A22" s="8" t="s">
        <v>84</v>
      </c>
      <c r="B22" s="9" t="s">
        <v>85</v>
      </c>
      <c r="C22" s="9" t="s">
        <v>86</v>
      </c>
      <c r="D22" s="9"/>
    </row>
    <row r="23" customFormat="false" ht="15" hidden="false" customHeight="true" outlineLevel="0" collapsed="false">
      <c r="A23" s="8" t="s">
        <v>87</v>
      </c>
      <c r="B23" s="9" t="s">
        <v>88</v>
      </c>
      <c r="C23" s="9" t="s">
        <v>89</v>
      </c>
      <c r="D23" s="9"/>
    </row>
    <row r="24" customFormat="false" ht="15" hidden="false" customHeight="true" outlineLevel="0" collapsed="false">
      <c r="A24" s="8" t="s">
        <v>90</v>
      </c>
      <c r="B24" s="9" t="s">
        <v>91</v>
      </c>
      <c r="C24" s="9" t="s">
        <v>92</v>
      </c>
      <c r="D24" s="9"/>
    </row>
    <row r="25" customFormat="false" ht="15" hidden="false" customHeight="true" outlineLevel="0" collapsed="false">
      <c r="A25" s="8" t="s">
        <v>93</v>
      </c>
      <c r="B25" s="9" t="s">
        <v>94</v>
      </c>
      <c r="C25" s="9" t="s">
        <v>95</v>
      </c>
      <c r="D25" s="9"/>
    </row>
    <row r="26" customFormat="false" ht="15" hidden="false" customHeight="true" outlineLevel="0" collapsed="false">
      <c r="A26" s="8" t="s">
        <v>30</v>
      </c>
      <c r="B26" s="9" t="s">
        <v>96</v>
      </c>
      <c r="C26" s="9" t="s">
        <v>97</v>
      </c>
      <c r="D26" s="9"/>
    </row>
    <row r="27" customFormat="false" ht="15" hidden="false" customHeight="true" outlineLevel="0" collapsed="false">
      <c r="A27" s="8" t="s">
        <v>41</v>
      </c>
      <c r="B27" s="9" t="s">
        <v>98</v>
      </c>
      <c r="C27" s="9" t="s">
        <v>99</v>
      </c>
      <c r="D27" s="9"/>
    </row>
    <row r="28" customFormat="false" ht="15" hidden="false" customHeight="true" outlineLevel="0" collapsed="false">
      <c r="A28" s="8" t="s">
        <v>45</v>
      </c>
      <c r="B28" s="9" t="s">
        <v>100</v>
      </c>
      <c r="C28" s="9" t="s">
        <v>101</v>
      </c>
      <c r="D28" s="9"/>
    </row>
    <row r="29" customFormat="false" ht="15" hidden="false" customHeight="true" outlineLevel="0" collapsed="false">
      <c r="A29" s="8" t="s">
        <v>102</v>
      </c>
      <c r="B29" s="9" t="s">
        <v>103</v>
      </c>
      <c r="C29" s="9" t="s">
        <v>104</v>
      </c>
      <c r="D29" s="9"/>
    </row>
    <row r="30" customFormat="false" ht="15" hidden="false" customHeight="true" outlineLevel="0" collapsed="false">
      <c r="A30" s="8" t="s">
        <v>49</v>
      </c>
      <c r="B30" s="9" t="s">
        <v>105</v>
      </c>
      <c r="C30" s="9" t="s">
        <v>106</v>
      </c>
      <c r="D30" s="9"/>
    </row>
    <row r="31" customFormat="false" ht="15" hidden="false" customHeight="true" outlineLevel="0" collapsed="false">
      <c r="A31" s="8" t="s">
        <v>52</v>
      </c>
      <c r="B31" s="9" t="s">
        <v>107</v>
      </c>
      <c r="C31" s="9" t="s">
        <v>108</v>
      </c>
      <c r="D31" s="9"/>
    </row>
    <row r="32" customFormat="false" ht="15" hidden="false" customHeight="true" outlineLevel="0" collapsed="false">
      <c r="A32" s="8" t="s">
        <v>109</v>
      </c>
      <c r="B32" s="9" t="s">
        <v>110</v>
      </c>
      <c r="C32" s="9" t="s">
        <v>111</v>
      </c>
      <c r="D32" s="9"/>
    </row>
    <row r="33" customFormat="false" ht="15" hidden="false" customHeight="true" outlineLevel="0" collapsed="false">
      <c r="A33" s="8" t="s">
        <v>112</v>
      </c>
      <c r="B33" s="9" t="s">
        <v>113</v>
      </c>
      <c r="C33" s="9" t="s">
        <v>114</v>
      </c>
      <c r="D33" s="9"/>
    </row>
    <row r="34" customFormat="false" ht="15" hidden="false" customHeight="true" outlineLevel="0" collapsed="false">
      <c r="A34" s="8" t="s">
        <v>115</v>
      </c>
      <c r="B34" s="9" t="s">
        <v>116</v>
      </c>
      <c r="C34" s="9" t="s">
        <v>117</v>
      </c>
      <c r="D34" s="9"/>
    </row>
    <row r="35" customFormat="false" ht="15" hidden="false" customHeight="true" outlineLevel="0" collapsed="false">
      <c r="A35" s="8" t="s">
        <v>118</v>
      </c>
      <c r="B35" s="9" t="s">
        <v>119</v>
      </c>
      <c r="C35" s="9" t="s">
        <v>120</v>
      </c>
      <c r="D35" s="9"/>
    </row>
    <row r="36" customFormat="false" ht="15" hidden="false" customHeight="true" outlineLevel="0" collapsed="false">
      <c r="A36" s="8" t="s">
        <v>121</v>
      </c>
      <c r="B36" s="9" t="s">
        <v>122</v>
      </c>
      <c r="C36" s="9" t="s">
        <v>123</v>
      </c>
      <c r="D36" s="9"/>
    </row>
    <row r="38" customFormat="false" ht="30" hidden="false" customHeight="true" outlineLevel="0" collapsed="false">
      <c r="A38" s="15" t="s">
        <v>124</v>
      </c>
      <c r="B38" s="15"/>
      <c r="C38" s="15"/>
      <c r="D38" s="15"/>
    </row>
  </sheetData>
  <mergeCells count="23"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125</v>
      </c>
    </row>
    <row r="2" customFormat="false" ht="15" hidden="false" customHeight="true" outlineLevel="0" collapsed="false">
      <c r="A2" s="3" t="s">
        <v>126</v>
      </c>
    </row>
    <row r="4" customFormat="false" ht="15" hidden="false" customHeight="true" outlineLevel="0" collapsed="false">
      <c r="A4" s="7" t="s">
        <v>18</v>
      </c>
      <c r="B4" s="7" t="s">
        <v>70</v>
      </c>
      <c r="C4" s="7" t="s">
        <v>127</v>
      </c>
      <c r="D4" s="7" t="s">
        <v>128</v>
      </c>
      <c r="E4" s="7" t="s">
        <v>129</v>
      </c>
      <c r="F4" s="7" t="s">
        <v>130</v>
      </c>
    </row>
    <row r="5" customFormat="false" ht="15" hidden="false" customHeight="true" outlineLevel="0" collapsed="false">
      <c r="A5" s="8" t="s">
        <v>22</v>
      </c>
      <c r="B5" s="9" t="s">
        <v>72</v>
      </c>
      <c r="C5" s="16" t="n">
        <v>8000000</v>
      </c>
      <c r="D5" s="9" t="s">
        <v>131</v>
      </c>
      <c r="E5" s="9" t="s">
        <v>132</v>
      </c>
      <c r="F5" s="9" t="s">
        <v>25</v>
      </c>
    </row>
    <row r="6" customFormat="false" ht="15" hidden="false" customHeight="true" outlineLevel="0" collapsed="false">
      <c r="A6" s="8" t="s">
        <v>26</v>
      </c>
      <c r="B6" s="9" t="s">
        <v>133</v>
      </c>
      <c r="C6" s="17" t="n">
        <v>1.1525</v>
      </c>
      <c r="D6" s="9" t="s">
        <v>134</v>
      </c>
      <c r="E6" s="9" t="s">
        <v>132</v>
      </c>
      <c r="F6" s="9" t="s">
        <v>135</v>
      </c>
    </row>
    <row r="7" customFormat="false" ht="15" hidden="false" customHeight="true" outlineLevel="0" collapsed="false">
      <c r="A7" s="8" t="s">
        <v>34</v>
      </c>
      <c r="B7" s="9" t="s">
        <v>76</v>
      </c>
      <c r="C7" s="18" t="n">
        <v>0.0401</v>
      </c>
      <c r="D7" s="9" t="s">
        <v>136</v>
      </c>
      <c r="E7" s="9" t="s">
        <v>132</v>
      </c>
      <c r="F7" s="9" t="s">
        <v>137</v>
      </c>
    </row>
    <row r="8" customFormat="false" ht="15" hidden="false" customHeight="true" outlineLevel="0" collapsed="false">
      <c r="A8" s="8" t="s">
        <v>37</v>
      </c>
      <c r="B8" s="9" t="s">
        <v>78</v>
      </c>
      <c r="C8" s="18" t="n">
        <v>0.02884</v>
      </c>
      <c r="D8" s="9" t="s">
        <v>136</v>
      </c>
      <c r="E8" s="9" t="s">
        <v>132</v>
      </c>
      <c r="F8" s="9" t="s">
        <v>138</v>
      </c>
    </row>
    <row r="9" customFormat="false" ht="15" hidden="false" customHeight="true" outlineLevel="0" collapsed="false">
      <c r="A9" s="8" t="s">
        <v>55</v>
      </c>
      <c r="B9" s="9" t="s">
        <v>80</v>
      </c>
      <c r="C9" s="19" t="n">
        <v>365</v>
      </c>
      <c r="D9" s="9" t="s">
        <v>139</v>
      </c>
      <c r="E9" s="9" t="s">
        <v>132</v>
      </c>
      <c r="F9" s="9" t="s">
        <v>58</v>
      </c>
    </row>
    <row r="10" customFormat="false" ht="15" hidden="false" customHeight="true" outlineLevel="0" collapsed="false">
      <c r="A10" s="8" t="s">
        <v>81</v>
      </c>
      <c r="B10" s="9" t="s">
        <v>140</v>
      </c>
      <c r="C10" s="20" t="n">
        <v>360</v>
      </c>
      <c r="D10" s="9" t="s">
        <v>139</v>
      </c>
      <c r="E10" s="9" t="s">
        <v>141</v>
      </c>
      <c r="F10" s="9" t="s">
        <v>142</v>
      </c>
    </row>
    <row r="11" customFormat="false" ht="15" hidden="false" customHeight="true" outlineLevel="0" collapsed="false">
      <c r="A11" s="8" t="s">
        <v>84</v>
      </c>
      <c r="B11" s="9" t="s">
        <v>143</v>
      </c>
      <c r="C11" s="20" t="n">
        <v>365</v>
      </c>
      <c r="D11" s="9" t="s">
        <v>139</v>
      </c>
      <c r="E11" s="9" t="s">
        <v>141</v>
      </c>
      <c r="F11" s="9" t="s">
        <v>144</v>
      </c>
    </row>
    <row r="12" customFormat="false" ht="15" hidden="false" customHeight="true" outlineLevel="0" collapsed="false">
      <c r="A12" s="8" t="s">
        <v>87</v>
      </c>
      <c r="B12" s="9" t="s">
        <v>145</v>
      </c>
      <c r="C12" s="21" t="n">
        <v>0.01</v>
      </c>
      <c r="D12" s="9" t="s">
        <v>146</v>
      </c>
      <c r="E12" s="9" t="s">
        <v>141</v>
      </c>
      <c r="F12" s="9" t="s">
        <v>147</v>
      </c>
    </row>
    <row r="13" customFormat="false" ht="15" hidden="false" customHeight="true" outlineLevel="0" collapsed="false">
      <c r="A13" s="8" t="s">
        <v>90</v>
      </c>
      <c r="B13" s="9" t="s">
        <v>148</v>
      </c>
      <c r="C13" s="22" t="n">
        <f aca="false">1+R_USD*T_DAYS/BASIS_USD</f>
        <v>1.04065694444444</v>
      </c>
      <c r="D13" s="9" t="s">
        <v>149</v>
      </c>
      <c r="E13" s="9" t="s">
        <v>150</v>
      </c>
      <c r="F13" s="9" t="s">
        <v>151</v>
      </c>
    </row>
    <row r="14" customFormat="false" ht="15" hidden="false" customHeight="true" outlineLevel="0" collapsed="false">
      <c r="A14" s="8" t="s">
        <v>93</v>
      </c>
      <c r="B14" s="9" t="s">
        <v>152</v>
      </c>
      <c r="C14" s="22" t="n">
        <f aca="false">1+R_FC*T_DAYS/BASIS_FC</f>
        <v>1.02884</v>
      </c>
      <c r="D14" s="9" t="s">
        <v>149</v>
      </c>
      <c r="E14" s="9" t="s">
        <v>150</v>
      </c>
      <c r="F14" s="9" t="s">
        <v>153</v>
      </c>
    </row>
    <row r="15" customFormat="false" ht="15" hidden="false" customHeight="true" outlineLevel="0" collapsed="false">
      <c r="A15" s="8" t="s">
        <v>30</v>
      </c>
      <c r="B15" s="9" t="s">
        <v>154</v>
      </c>
      <c r="C15" s="22" t="n">
        <f aca="false">S0_in*DF_USD/DF_FC</f>
        <v>1.16573726572861</v>
      </c>
      <c r="D15" s="9" t="s">
        <v>134</v>
      </c>
      <c r="E15" s="9" t="s">
        <v>150</v>
      </c>
      <c r="F15" s="9" t="s">
        <v>155</v>
      </c>
    </row>
    <row r="16" customFormat="false" ht="15" hidden="false" customHeight="true" outlineLevel="0" collapsed="false">
      <c r="A16" s="8" t="s">
        <v>41</v>
      </c>
      <c r="B16" s="9" t="s">
        <v>99</v>
      </c>
      <c r="C16" s="17" t="n">
        <v>1.1525</v>
      </c>
      <c r="D16" s="9" t="s">
        <v>134</v>
      </c>
      <c r="E16" s="9" t="s">
        <v>132</v>
      </c>
      <c r="F16" s="9" t="s">
        <v>156</v>
      </c>
    </row>
    <row r="17" customFormat="false" ht="15" hidden="false" customHeight="true" outlineLevel="0" collapsed="false">
      <c r="A17" s="8" t="s">
        <v>45</v>
      </c>
      <c r="B17" s="9" t="s">
        <v>101</v>
      </c>
      <c r="C17" s="23" t="n">
        <v>0.021</v>
      </c>
      <c r="D17" s="9" t="s">
        <v>157</v>
      </c>
      <c r="E17" s="9" t="s">
        <v>132</v>
      </c>
      <c r="F17" s="9" t="s">
        <v>158</v>
      </c>
    </row>
    <row r="18" customFormat="false" ht="15" hidden="false" customHeight="true" outlineLevel="0" collapsed="false">
      <c r="A18" s="8" t="s">
        <v>102</v>
      </c>
      <c r="B18" s="9" t="s">
        <v>104</v>
      </c>
      <c r="C18" s="24" t="n">
        <f aca="false">-PREM_PUT*FC_AMT*DF_USD</f>
        <v>-174830.366666667</v>
      </c>
      <c r="D18" s="9" t="s">
        <v>157</v>
      </c>
      <c r="E18" s="9" t="s">
        <v>150</v>
      </c>
      <c r="F18" s="9" t="s">
        <v>159</v>
      </c>
    </row>
    <row r="19" customFormat="false" ht="15" hidden="false" customHeight="true" outlineLevel="0" collapsed="false">
      <c r="A19" s="8" t="s">
        <v>49</v>
      </c>
      <c r="B19" s="9" t="s">
        <v>106</v>
      </c>
      <c r="C19" s="17" t="n">
        <v>1.1525</v>
      </c>
      <c r="D19" s="9" t="s">
        <v>134</v>
      </c>
      <c r="E19" s="9" t="s">
        <v>132</v>
      </c>
      <c r="F19" s="9" t="s">
        <v>160</v>
      </c>
    </row>
    <row r="20" customFormat="false" ht="15" hidden="false" customHeight="true" outlineLevel="0" collapsed="false">
      <c r="A20" s="8" t="s">
        <v>52</v>
      </c>
      <c r="B20" s="9" t="s">
        <v>161</v>
      </c>
      <c r="C20" s="25" t="n">
        <f aca="false">PREM_PUT+(F0_in-K_CALL)/DF_USD</f>
        <v>0.0337201051213626</v>
      </c>
      <c r="D20" s="9" t="s">
        <v>157</v>
      </c>
      <c r="E20" s="9" t="s">
        <v>150</v>
      </c>
      <c r="F20" s="9" t="s">
        <v>162</v>
      </c>
    </row>
    <row r="21" customFormat="false" ht="15" hidden="false" customHeight="true" outlineLevel="0" collapsed="false">
      <c r="A21" s="8" t="s">
        <v>109</v>
      </c>
      <c r="B21" s="9" t="s">
        <v>111</v>
      </c>
      <c r="C21" s="24" t="n">
        <f aca="false">-PREM_CALL*FC_AMT*DF_USD</f>
        <v>-280728.492495541</v>
      </c>
      <c r="D21" s="9" t="s">
        <v>157</v>
      </c>
      <c r="E21" s="9" t="s">
        <v>150</v>
      </c>
      <c r="F21" s="9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6"/>
    <col collapsed="false" customWidth="true" hidden="false" outlineLevel="0" max="3" min="3" style="1" width="20"/>
  </cols>
  <sheetData>
    <row r="1" customFormat="false" ht="19.5" hidden="false" customHeight="true" outlineLevel="0" collapsed="false">
      <c r="A1" s="2" t="s">
        <v>164</v>
      </c>
    </row>
    <row r="2" customFormat="false" ht="15" hidden="false" customHeight="true" outlineLevel="0" collapsed="false">
      <c r="A2" s="3" t="s">
        <v>165</v>
      </c>
    </row>
    <row r="4" customFormat="false" ht="15" hidden="false" customHeight="true" outlineLevel="0" collapsed="false">
      <c r="A4" s="4" t="s">
        <v>166</v>
      </c>
    </row>
    <row r="5" customFormat="false" ht="27.75" hidden="false" customHeight="true" outlineLevel="0" collapsed="false">
      <c r="A5" s="26" t="s">
        <v>167</v>
      </c>
      <c r="B5" s="26"/>
      <c r="C5" s="26"/>
    </row>
    <row r="8" customFormat="false" ht="15" hidden="false" customHeight="true" outlineLevel="0" collapsed="false">
      <c r="A8" s="5" t="s">
        <v>168</v>
      </c>
    </row>
    <row r="9" customFormat="false" ht="15" hidden="false" customHeight="true" outlineLevel="0" collapsed="false">
      <c r="A9" s="5" t="s">
        <v>169</v>
      </c>
      <c r="C9" s="27" t="n">
        <f aca="false">FC_AMT*F0_in</f>
        <v>9325898.12582888</v>
      </c>
    </row>
    <row r="11" customFormat="false" ht="15" hidden="false" customHeight="true" outlineLevel="0" collapsed="false">
      <c r="A11" s="28" t="s">
        <v>170</v>
      </c>
      <c r="B11" s="28"/>
      <c r="C11" s="28"/>
    </row>
  </sheetData>
  <mergeCells count="2">
    <mergeCell ref="A5:C5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3" min="3" style="1" width="20"/>
  </cols>
  <sheetData>
    <row r="1" customFormat="false" ht="19.5" hidden="false" customHeight="true" outlineLevel="0" collapsed="false">
      <c r="A1" s="2" t="s">
        <v>171</v>
      </c>
    </row>
    <row r="2" customFormat="false" ht="15" hidden="false" customHeight="true" outlineLevel="0" collapsed="false">
      <c r="A2" s="3" t="s">
        <v>172</v>
      </c>
    </row>
    <row r="4" customFormat="false" ht="15" hidden="false" customHeight="true" outlineLevel="0" collapsed="false">
      <c r="A4" s="4" t="s">
        <v>173</v>
      </c>
    </row>
    <row r="5" customFormat="false" ht="15" hidden="false" customHeight="true" outlineLevel="0" collapsed="false">
      <c r="A5" s="6" t="s">
        <v>174</v>
      </c>
      <c r="C5" s="29" t="n">
        <f aca="false">FC_AMT/DF_FC</f>
        <v>7775747.44372303</v>
      </c>
    </row>
    <row r="7" customFormat="false" ht="15" hidden="false" customHeight="true" outlineLevel="0" collapsed="false">
      <c r="A7" s="4" t="s">
        <v>175</v>
      </c>
    </row>
    <row r="8" customFormat="false" ht="15" hidden="false" customHeight="true" outlineLevel="0" collapsed="false">
      <c r="A8" s="6" t="s">
        <v>176</v>
      </c>
      <c r="C8" s="24" t="n">
        <f aca="false">EUR_BORROWED*S0_in</f>
        <v>8961548.92889079</v>
      </c>
    </row>
    <row r="10" customFormat="false" ht="15" hidden="false" customHeight="true" outlineLevel="0" collapsed="false">
      <c r="A10" s="4" t="s">
        <v>177</v>
      </c>
    </row>
    <row r="11" customFormat="false" ht="15" hidden="false" customHeight="true" outlineLevel="0" collapsed="false">
      <c r="A11" s="5" t="s">
        <v>178</v>
      </c>
      <c r="C11" s="27" t="n">
        <f aca="false">USD_CONVERTED*DF_USD</f>
        <v>9325898.12582888</v>
      </c>
    </row>
    <row r="13" customFormat="false" ht="15" hidden="false" customHeight="true" outlineLevel="0" collapsed="false">
      <c r="A13" s="4" t="s">
        <v>179</v>
      </c>
    </row>
    <row r="14" customFormat="false" ht="15" hidden="false" customHeight="true" outlineLevel="0" collapsed="false">
      <c r="A14" s="6" t="s">
        <v>180</v>
      </c>
      <c r="C14" s="30" t="n">
        <f aca="false">USD_MM-USD_FWD</f>
        <v>0</v>
      </c>
    </row>
    <row r="15" customFormat="false" ht="15" hidden="false" customHeight="true" outlineLevel="0" collapsed="false">
      <c r="A15" s="6" t="s">
        <v>181</v>
      </c>
      <c r="C15" s="31" t="n">
        <f aca="false">(USD_MM-USD_FWD)/USD_FWD</f>
        <v>0</v>
      </c>
    </row>
    <row r="16" customFormat="false" ht="15" hidden="false" customHeight="true" outlineLevel="0" collapsed="false">
      <c r="A16" s="5" t="s">
        <v>182</v>
      </c>
      <c r="C16" s="32" t="str">
        <f aca="false">IF(ABS(C15)&lt;=0.0005,"PASS","FAIL")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3" min="3" style="1" width="20"/>
  </cols>
  <sheetData>
    <row r="1" customFormat="false" ht="19.5" hidden="false" customHeight="true" outlineLevel="0" collapsed="false">
      <c r="A1" s="2" t="s">
        <v>183</v>
      </c>
    </row>
    <row r="2" customFormat="false" ht="15" hidden="false" customHeight="true" outlineLevel="0" collapsed="false">
      <c r="A2" s="3" t="s">
        <v>184</v>
      </c>
    </row>
    <row r="4" customFormat="false" ht="15" hidden="false" customHeight="true" outlineLevel="0" collapsed="false">
      <c r="A4" s="4" t="s">
        <v>185</v>
      </c>
    </row>
    <row r="5" customFormat="false" ht="15" hidden="false" customHeight="true" outlineLevel="0" collapsed="false">
      <c r="A5" s="6" t="s">
        <v>186</v>
      </c>
    </row>
    <row r="7" customFormat="false" ht="15" hidden="false" customHeight="true" outlineLevel="0" collapsed="false">
      <c r="A7" s="6" t="s">
        <v>187</v>
      </c>
      <c r="C7" s="24" t="n">
        <f aca="false">PREM_PUT*FC_AMT</f>
        <v>168000</v>
      </c>
    </row>
    <row r="9" customFormat="false" ht="15" hidden="false" customHeight="true" outlineLevel="0" collapsed="false">
      <c r="A9" s="5" t="s">
        <v>188</v>
      </c>
      <c r="C9" s="27" t="n">
        <f aca="false">MAX(S0_in,K_PUT)*FC_AMT+FV_PREM_PUT</f>
        <v>9045169.63333333</v>
      </c>
    </row>
    <row r="10" customFormat="false" ht="15" hidden="false" customHeight="true" outlineLevel="0" collapsed="false">
      <c r="A10" s="5" t="s">
        <v>189</v>
      </c>
      <c r="C10" s="27" t="n">
        <f aca="false">MIN(Sensitivity!F5:F15)</f>
        <v>9045169.63333333</v>
      </c>
    </row>
    <row r="12" customFormat="false" ht="15" hidden="false" customHeight="true" outlineLevel="0" collapsed="false">
      <c r="A12" s="28" t="s">
        <v>190</v>
      </c>
      <c r="B12" s="28"/>
      <c r="C12" s="28"/>
    </row>
    <row r="13" customFormat="false" ht="15" hidden="false" customHeight="true" outlineLevel="0" collapsed="false">
      <c r="A13" s="5" t="s">
        <v>191</v>
      </c>
      <c r="C13" s="32" t="str">
        <f aca="false">IF(ABS(Sensitivity!F10-(K_PUT*FC_AMT+FV_PREM_PUT))&lt;0.01,"PASS","FAIL")</f>
        <v>PASS</v>
      </c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3" min="3" style="1" width="20"/>
  </cols>
  <sheetData>
    <row r="1" customFormat="false" ht="19.5" hidden="false" customHeight="true" outlineLevel="0" collapsed="false">
      <c r="A1" s="2" t="s">
        <v>192</v>
      </c>
    </row>
    <row r="2" customFormat="false" ht="15" hidden="false" customHeight="true" outlineLevel="0" collapsed="false">
      <c r="A2" s="3" t="s">
        <v>193</v>
      </c>
    </row>
    <row r="4" customFormat="false" ht="43.5" hidden="false" customHeight="true" outlineLevel="0" collapsed="false">
      <c r="A4" s="10" t="s">
        <v>194</v>
      </c>
      <c r="B4" s="10"/>
      <c r="C4" s="10"/>
    </row>
    <row r="6" customFormat="false" ht="15" hidden="false" customHeight="true" outlineLevel="0" collapsed="false">
      <c r="A6" s="4" t="s">
        <v>185</v>
      </c>
    </row>
    <row r="7" customFormat="false" ht="15" hidden="false" customHeight="true" outlineLevel="0" collapsed="false">
      <c r="A7" s="6" t="s">
        <v>195</v>
      </c>
    </row>
    <row r="9" customFormat="false" ht="15" hidden="false" customHeight="true" outlineLevel="0" collapsed="false">
      <c r="A9" s="6" t="s">
        <v>196</v>
      </c>
      <c r="C9" s="24" t="n">
        <f aca="false">PREM_CALL*FC_AMT</f>
        <v>269760.8409709</v>
      </c>
    </row>
    <row r="11" customFormat="false" ht="15" hidden="false" customHeight="true" outlineLevel="0" collapsed="false">
      <c r="A11" s="5" t="s">
        <v>188</v>
      </c>
      <c r="C11" s="27" t="n">
        <f aca="false">MIN(S0_in,K_CALL)*FC_AMT+FV_PREM_CALL</f>
        <v>8939271.50750446</v>
      </c>
    </row>
    <row r="12" customFormat="false" ht="15" hidden="false" customHeight="true" outlineLevel="0" collapsed="false">
      <c r="A12" s="5" t="s">
        <v>197</v>
      </c>
      <c r="C12" s="27" t="n">
        <f aca="false">MAX(Sensitivity!G5:G15)</f>
        <v>8939271.50750446</v>
      </c>
    </row>
  </sheetData>
  <mergeCells count="1"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3"/>
    <col collapsed="false" customWidth="true" hidden="false" outlineLevel="0" max="11" min="11" style="1" width="15"/>
    <col collapsed="false" customWidth="true" hidden="false" outlineLevel="0" max="12" min="12" style="1" width="18"/>
  </cols>
  <sheetData>
    <row r="1" customFormat="false" ht="19.5" hidden="false" customHeight="true" outlineLevel="0" collapsed="false">
      <c r="A1" s="2" t="s">
        <v>198</v>
      </c>
    </row>
    <row r="2" customFormat="false" ht="15" hidden="false" customHeight="true" outlineLevel="0" collapsed="false">
      <c r="A2" s="3" t="s">
        <v>199</v>
      </c>
    </row>
    <row r="4" customFormat="false" ht="23.25" hidden="false" customHeight="true" outlineLevel="0" collapsed="false">
      <c r="A4" s="7" t="s">
        <v>200</v>
      </c>
      <c r="B4" s="7" t="s">
        <v>201</v>
      </c>
      <c r="C4" s="7" t="s">
        <v>202</v>
      </c>
      <c r="D4" s="7" t="s">
        <v>112</v>
      </c>
      <c r="E4" s="7" t="s">
        <v>115</v>
      </c>
      <c r="F4" s="7" t="s">
        <v>203</v>
      </c>
      <c r="G4" s="7" t="s">
        <v>204</v>
      </c>
      <c r="H4" s="7" t="s">
        <v>205</v>
      </c>
      <c r="I4" s="7" t="s">
        <v>206</v>
      </c>
      <c r="J4" s="7" t="s">
        <v>207</v>
      </c>
      <c r="K4" s="7" t="s">
        <v>208</v>
      </c>
      <c r="L4" s="7" t="s">
        <v>209</v>
      </c>
    </row>
    <row r="5" customFormat="false" ht="15" hidden="false" customHeight="true" outlineLevel="0" collapsed="false">
      <c r="A5" s="33" t="n">
        <v>-5</v>
      </c>
      <c r="B5" s="22" t="n">
        <f aca="false">S0_in*(1+A5*STEP_FRAC)</f>
        <v>1.094875</v>
      </c>
      <c r="C5" s="24" t="n">
        <f aca="false">B5*FC_AMT</f>
        <v>8759000</v>
      </c>
      <c r="D5" s="24" t="n">
        <f aca="false">USD_FWD</f>
        <v>9325898.12582888</v>
      </c>
      <c r="E5" s="24" t="n">
        <f aca="false">USD_MM</f>
        <v>9325898.12582888</v>
      </c>
      <c r="F5" s="24" t="n">
        <f aca="false">MAX(B5,K_PUT)*FC_AMT+FV_PREM_PUT</f>
        <v>9045169.63333333</v>
      </c>
      <c r="G5" s="24" t="n">
        <f aca="false">MIN(B5,K_CALL)*FC_AMT+FV_PREM_CALL</f>
        <v>8478271.50750446</v>
      </c>
      <c r="H5" s="24" t="n">
        <f aca="false">D5-C5</f>
        <v>566898.125828875</v>
      </c>
      <c r="I5" s="24" t="n">
        <f aca="false">E5-C5</f>
        <v>566898.125828875</v>
      </c>
      <c r="J5" s="24" t="n">
        <f aca="false">F5-C5</f>
        <v>286169.633333333</v>
      </c>
      <c r="K5" s="34" t="str">
        <f aca="false">IF(C5=MAX(C5,D5,E5,F5),"No Hedge",IF(D5=MAX(C5,D5,E5,F5),"Forward",IF(E5=MAX(C5,D5,E5,F5),"Money Market","Put")))</f>
        <v>Forward</v>
      </c>
      <c r="L5" s="34" t="str">
        <f aca="false">IF(D5=MAX(D5,E5,F5),"Forward",IF(E5=MAX(D5,E5,F5),"Money Market","Put"))</f>
        <v>Forward</v>
      </c>
    </row>
    <row r="6" customFormat="false" ht="15" hidden="false" customHeight="true" outlineLevel="0" collapsed="false">
      <c r="A6" s="33" t="n">
        <v>-4</v>
      </c>
      <c r="B6" s="22" t="n">
        <f aca="false">S0_in*(1+A6*STEP_FRAC)</f>
        <v>1.1064</v>
      </c>
      <c r="C6" s="24" t="n">
        <f aca="false">B6*FC_AMT</f>
        <v>8851200</v>
      </c>
      <c r="D6" s="24" t="n">
        <f aca="false">USD_FWD</f>
        <v>9325898.12582888</v>
      </c>
      <c r="E6" s="24" t="n">
        <f aca="false">USD_MM</f>
        <v>9325898.12582888</v>
      </c>
      <c r="F6" s="24" t="n">
        <f aca="false">MAX(B6,K_PUT)*FC_AMT+FV_PREM_PUT</f>
        <v>9045169.63333333</v>
      </c>
      <c r="G6" s="24" t="n">
        <f aca="false">MIN(B6,K_CALL)*FC_AMT+FV_PREM_CALL</f>
        <v>8570471.50750446</v>
      </c>
      <c r="H6" s="24" t="n">
        <f aca="false">D6-C6</f>
        <v>474698.125828875</v>
      </c>
      <c r="I6" s="24" t="n">
        <f aca="false">E6-C6</f>
        <v>474698.125828875</v>
      </c>
      <c r="J6" s="24" t="n">
        <f aca="false">F6-C6</f>
        <v>193969.633333333</v>
      </c>
      <c r="K6" s="34" t="str">
        <f aca="false">IF(C6=MAX(C6,D6,E6,F6),"No Hedge",IF(D6=MAX(C6,D6,E6,F6),"Forward",IF(E6=MAX(C6,D6,E6,F6),"Money Market","Put")))</f>
        <v>Forward</v>
      </c>
      <c r="L6" s="34" t="str">
        <f aca="false">IF(D6=MAX(D6,E6,F6),"Forward",IF(E6=MAX(D6,E6,F6),"Money Market","Put"))</f>
        <v>Forward</v>
      </c>
    </row>
    <row r="7" customFormat="false" ht="15" hidden="false" customHeight="true" outlineLevel="0" collapsed="false">
      <c r="A7" s="33" t="n">
        <v>-3</v>
      </c>
      <c r="B7" s="22" t="n">
        <f aca="false">S0_in*(1+A7*STEP_FRAC)</f>
        <v>1.117925</v>
      </c>
      <c r="C7" s="24" t="n">
        <f aca="false">B7*FC_AMT</f>
        <v>8943400</v>
      </c>
      <c r="D7" s="24" t="n">
        <f aca="false">USD_FWD</f>
        <v>9325898.12582888</v>
      </c>
      <c r="E7" s="24" t="n">
        <f aca="false">USD_MM</f>
        <v>9325898.12582888</v>
      </c>
      <c r="F7" s="24" t="n">
        <f aca="false">MAX(B7,K_PUT)*FC_AMT+FV_PREM_PUT</f>
        <v>9045169.63333333</v>
      </c>
      <c r="G7" s="24" t="n">
        <f aca="false">MIN(B7,K_CALL)*FC_AMT+FV_PREM_CALL</f>
        <v>8662671.50750446</v>
      </c>
      <c r="H7" s="24" t="n">
        <f aca="false">D7-C7</f>
        <v>382498.125828875</v>
      </c>
      <c r="I7" s="24" t="n">
        <f aca="false">E7-C7</f>
        <v>382498.125828875</v>
      </c>
      <c r="J7" s="24" t="n">
        <f aca="false">F7-C7</f>
        <v>101769.633333333</v>
      </c>
      <c r="K7" s="34" t="str">
        <f aca="false">IF(C7=MAX(C7,D7,E7,F7),"No Hedge",IF(D7=MAX(C7,D7,E7,F7),"Forward",IF(E7=MAX(C7,D7,E7,F7),"Money Market","Put")))</f>
        <v>Forward</v>
      </c>
      <c r="L7" s="34" t="str">
        <f aca="false">IF(D7=MAX(D7,E7,F7),"Forward",IF(E7=MAX(D7,E7,F7),"Money Market","Put"))</f>
        <v>Forward</v>
      </c>
    </row>
    <row r="8" customFormat="false" ht="15" hidden="false" customHeight="true" outlineLevel="0" collapsed="false">
      <c r="A8" s="33" t="n">
        <v>-2</v>
      </c>
      <c r="B8" s="22" t="n">
        <f aca="false">S0_in*(1+A8*STEP_FRAC)</f>
        <v>1.12945</v>
      </c>
      <c r="C8" s="24" t="n">
        <f aca="false">B8*FC_AMT</f>
        <v>9035600</v>
      </c>
      <c r="D8" s="24" t="n">
        <f aca="false">USD_FWD</f>
        <v>9325898.12582888</v>
      </c>
      <c r="E8" s="24" t="n">
        <f aca="false">USD_MM</f>
        <v>9325898.12582888</v>
      </c>
      <c r="F8" s="24" t="n">
        <f aca="false">MAX(B8,K_PUT)*FC_AMT+FV_PREM_PUT</f>
        <v>9045169.63333333</v>
      </c>
      <c r="G8" s="24" t="n">
        <f aca="false">MIN(B8,K_CALL)*FC_AMT+FV_PREM_CALL</f>
        <v>8754871.50750446</v>
      </c>
      <c r="H8" s="24" t="n">
        <f aca="false">D8-C8</f>
        <v>290298.125828875</v>
      </c>
      <c r="I8" s="24" t="n">
        <f aca="false">E8-C8</f>
        <v>290298.125828875</v>
      </c>
      <c r="J8" s="24" t="n">
        <f aca="false">F8-C8</f>
        <v>9569.63333333284</v>
      </c>
      <c r="K8" s="34" t="str">
        <f aca="false">IF(C8=MAX(C8,D8,E8,F8),"No Hedge",IF(D8=MAX(C8,D8,E8,F8),"Forward",IF(E8=MAX(C8,D8,E8,F8),"Money Market","Put")))</f>
        <v>Forward</v>
      </c>
      <c r="L8" s="34" t="str">
        <f aca="false">IF(D8=MAX(D8,E8,F8),"Forward",IF(E8=MAX(D8,E8,F8),"Money Market","Put"))</f>
        <v>Forward</v>
      </c>
    </row>
    <row r="9" customFormat="false" ht="15" hidden="false" customHeight="true" outlineLevel="0" collapsed="false">
      <c r="A9" s="33" t="n">
        <v>-1</v>
      </c>
      <c r="B9" s="22" t="n">
        <f aca="false">S0_in*(1+A9*STEP_FRAC)</f>
        <v>1.140975</v>
      </c>
      <c r="C9" s="24" t="n">
        <f aca="false">B9*FC_AMT</f>
        <v>9127800</v>
      </c>
      <c r="D9" s="24" t="n">
        <f aca="false">USD_FWD</f>
        <v>9325898.12582888</v>
      </c>
      <c r="E9" s="24" t="n">
        <f aca="false">USD_MM</f>
        <v>9325898.12582888</v>
      </c>
      <c r="F9" s="24" t="n">
        <f aca="false">MAX(B9,K_PUT)*FC_AMT+FV_PREM_PUT</f>
        <v>9045169.63333333</v>
      </c>
      <c r="G9" s="24" t="n">
        <f aca="false">MIN(B9,K_CALL)*FC_AMT+FV_PREM_CALL</f>
        <v>8847071.50750446</v>
      </c>
      <c r="H9" s="24" t="n">
        <f aca="false">D9-C9</f>
        <v>198098.125828875</v>
      </c>
      <c r="I9" s="24" t="n">
        <f aca="false">E9-C9</f>
        <v>198098.125828875</v>
      </c>
      <c r="J9" s="24" t="n">
        <f aca="false">F9-C9</f>
        <v>-82630.3666666672</v>
      </c>
      <c r="K9" s="34" t="str">
        <f aca="false">IF(C9=MAX(C9,D9,E9,F9),"No Hedge",IF(D9=MAX(C9,D9,E9,F9),"Forward",IF(E9=MAX(C9,D9,E9,F9),"Money Market","Put")))</f>
        <v>Forward</v>
      </c>
      <c r="L9" s="34" t="str">
        <f aca="false">IF(D9=MAX(D9,E9,F9),"Forward",IF(E9=MAX(D9,E9,F9),"Money Market","Put"))</f>
        <v>Forward</v>
      </c>
    </row>
    <row r="10" customFormat="false" ht="15" hidden="false" customHeight="true" outlineLevel="0" collapsed="false">
      <c r="A10" s="35" t="n">
        <v>0</v>
      </c>
      <c r="B10" s="22" t="n">
        <f aca="false">S0_in*(1+A10*STEP_FRAC)</f>
        <v>1.1525</v>
      </c>
      <c r="C10" s="24" t="n">
        <f aca="false">B10*FC_AMT</f>
        <v>9220000</v>
      </c>
      <c r="D10" s="24" t="n">
        <f aca="false">USD_FWD</f>
        <v>9325898.12582888</v>
      </c>
      <c r="E10" s="24" t="n">
        <f aca="false">USD_MM</f>
        <v>9325898.12582888</v>
      </c>
      <c r="F10" s="24" t="n">
        <f aca="false">MAX(B10,K_PUT)*FC_AMT+FV_PREM_PUT</f>
        <v>9045169.63333333</v>
      </c>
      <c r="G10" s="24" t="n">
        <f aca="false">MIN(B10,K_CALL)*FC_AMT+FV_PREM_CALL</f>
        <v>8939271.50750446</v>
      </c>
      <c r="H10" s="36" t="n">
        <f aca="false">D10-C10</f>
        <v>105898.125828875</v>
      </c>
      <c r="I10" s="36" t="n">
        <f aca="false">E10-C10</f>
        <v>105898.125828875</v>
      </c>
      <c r="J10" s="36" t="n">
        <f aca="false">F10-C10</f>
        <v>-174830.366666667</v>
      </c>
      <c r="K10" s="37" t="str">
        <f aca="false">IF(C10=MAX(C10,D10,E10,F10),"No Hedge",IF(D10=MAX(C10,D10,E10,F10),"Forward",IF(E10=MAX(C10,D10,E10,F10),"Money Market","Put")))</f>
        <v>Forward</v>
      </c>
      <c r="L10" s="37" t="str">
        <f aca="false">IF(D10=MAX(D10,E10,F10),"Forward",IF(E10=MAX(D10,E10,F10),"Money Market","Put"))</f>
        <v>Forward</v>
      </c>
    </row>
    <row r="11" customFormat="false" ht="15" hidden="false" customHeight="true" outlineLevel="0" collapsed="false">
      <c r="A11" s="33" t="n">
        <v>1</v>
      </c>
      <c r="B11" s="22" t="n">
        <f aca="false">S0_in*(1+A11*STEP_FRAC)</f>
        <v>1.164025</v>
      </c>
      <c r="C11" s="24" t="n">
        <f aca="false">B11*FC_AMT</f>
        <v>9312200</v>
      </c>
      <c r="D11" s="24" t="n">
        <f aca="false">USD_FWD</f>
        <v>9325898.12582888</v>
      </c>
      <c r="E11" s="24" t="n">
        <f aca="false">USD_MM</f>
        <v>9325898.12582888</v>
      </c>
      <c r="F11" s="24" t="n">
        <f aca="false">MAX(B11,K_PUT)*FC_AMT+FV_PREM_PUT</f>
        <v>9137369.63333333</v>
      </c>
      <c r="G11" s="24" t="n">
        <f aca="false">MIN(B11,K_CALL)*FC_AMT+FV_PREM_CALL</f>
        <v>8939271.50750446</v>
      </c>
      <c r="H11" s="24" t="n">
        <f aca="false">D11-C11</f>
        <v>13698.1258288752</v>
      </c>
      <c r="I11" s="24" t="n">
        <f aca="false">E11-C11</f>
        <v>13698.1258288752</v>
      </c>
      <c r="J11" s="24" t="n">
        <f aca="false">F11-C11</f>
        <v>-174830.366666667</v>
      </c>
      <c r="K11" s="34" t="str">
        <f aca="false">IF(C11=MAX(C11,D11,E11,F11),"No Hedge",IF(D11=MAX(C11,D11,E11,F11),"Forward",IF(E11=MAX(C11,D11,E11,F11),"Money Market","Put")))</f>
        <v>Forward</v>
      </c>
      <c r="L11" s="34" t="str">
        <f aca="false">IF(D11=MAX(D11,E11,F11),"Forward",IF(E11=MAX(D11,E11,F11),"Money Market","Put"))</f>
        <v>Forward</v>
      </c>
    </row>
    <row r="12" customFormat="false" ht="15" hidden="false" customHeight="true" outlineLevel="0" collapsed="false">
      <c r="A12" s="33" t="n">
        <v>2</v>
      </c>
      <c r="B12" s="22" t="n">
        <f aca="false">S0_in*(1+A12*STEP_FRAC)</f>
        <v>1.17555</v>
      </c>
      <c r="C12" s="24" t="n">
        <f aca="false">B12*FC_AMT</f>
        <v>9404400</v>
      </c>
      <c r="D12" s="24" t="n">
        <f aca="false">USD_FWD</f>
        <v>9325898.12582888</v>
      </c>
      <c r="E12" s="24" t="n">
        <f aca="false">USD_MM</f>
        <v>9325898.12582888</v>
      </c>
      <c r="F12" s="24" t="n">
        <f aca="false">MAX(B12,K_PUT)*FC_AMT+FV_PREM_PUT</f>
        <v>9229569.63333333</v>
      </c>
      <c r="G12" s="24" t="n">
        <f aca="false">MIN(B12,K_CALL)*FC_AMT+FV_PREM_CALL</f>
        <v>8939271.50750446</v>
      </c>
      <c r="H12" s="24" t="n">
        <f aca="false">D12-C12</f>
        <v>-78501.8741711248</v>
      </c>
      <c r="I12" s="24" t="n">
        <f aca="false">E12-C12</f>
        <v>-78501.8741711248</v>
      </c>
      <c r="J12" s="24" t="n">
        <f aca="false">F12-C12</f>
        <v>-174830.366666667</v>
      </c>
      <c r="K12" s="34" t="str">
        <f aca="false">IF(C12=MAX(C12,D12,E12,F12),"No Hedge",IF(D12=MAX(C12,D12,E12,F12),"Forward",IF(E12=MAX(C12,D12,E12,F12),"Money Market","Put")))</f>
        <v>No Hedge</v>
      </c>
      <c r="L12" s="34" t="str">
        <f aca="false">IF(D12=MAX(D12,E12,F12),"Forward",IF(E12=MAX(D12,E12,F12),"Money Market","Put"))</f>
        <v>Forward</v>
      </c>
    </row>
    <row r="13" customFormat="false" ht="15" hidden="false" customHeight="true" outlineLevel="0" collapsed="false">
      <c r="A13" s="33" t="n">
        <v>3</v>
      </c>
      <c r="B13" s="22" t="n">
        <f aca="false">S0_in*(1+A13*STEP_FRAC)</f>
        <v>1.187075</v>
      </c>
      <c r="C13" s="24" t="n">
        <f aca="false">B13*FC_AMT</f>
        <v>9496600</v>
      </c>
      <c r="D13" s="24" t="n">
        <f aca="false">USD_FWD</f>
        <v>9325898.12582888</v>
      </c>
      <c r="E13" s="24" t="n">
        <f aca="false">USD_MM</f>
        <v>9325898.12582888</v>
      </c>
      <c r="F13" s="24" t="n">
        <f aca="false">MAX(B13,K_PUT)*FC_AMT+FV_PREM_PUT</f>
        <v>9321769.63333333</v>
      </c>
      <c r="G13" s="24" t="n">
        <f aca="false">MIN(B13,K_CALL)*FC_AMT+FV_PREM_CALL</f>
        <v>8939271.50750446</v>
      </c>
      <c r="H13" s="24" t="n">
        <f aca="false">D13-C13</f>
        <v>-170701.874171125</v>
      </c>
      <c r="I13" s="24" t="n">
        <f aca="false">E13-C13</f>
        <v>-170701.874171125</v>
      </c>
      <c r="J13" s="24" t="n">
        <f aca="false">F13-C13</f>
        <v>-174830.366666667</v>
      </c>
      <c r="K13" s="34" t="str">
        <f aca="false">IF(C13=MAX(C13,D13,E13,F13),"No Hedge",IF(D13=MAX(C13,D13,E13,F13),"Forward",IF(E13=MAX(C13,D13,E13,F13),"Money Market","Put")))</f>
        <v>No Hedge</v>
      </c>
      <c r="L13" s="34" t="str">
        <f aca="false">IF(D13=MAX(D13,E13,F13),"Forward",IF(E13=MAX(D13,E13,F13),"Money Market","Put"))</f>
        <v>Forward</v>
      </c>
    </row>
    <row r="14" customFormat="false" ht="15" hidden="false" customHeight="true" outlineLevel="0" collapsed="false">
      <c r="A14" s="33" t="n">
        <v>4</v>
      </c>
      <c r="B14" s="22" t="n">
        <f aca="false">S0_in*(1+A14*STEP_FRAC)</f>
        <v>1.1986</v>
      </c>
      <c r="C14" s="24" t="n">
        <f aca="false">B14*FC_AMT</f>
        <v>9588800</v>
      </c>
      <c r="D14" s="24" t="n">
        <f aca="false">USD_FWD</f>
        <v>9325898.12582888</v>
      </c>
      <c r="E14" s="24" t="n">
        <f aca="false">USD_MM</f>
        <v>9325898.12582888</v>
      </c>
      <c r="F14" s="24" t="n">
        <f aca="false">MAX(B14,K_PUT)*FC_AMT+FV_PREM_PUT</f>
        <v>9413969.63333333</v>
      </c>
      <c r="G14" s="24" t="n">
        <f aca="false">MIN(B14,K_CALL)*FC_AMT+FV_PREM_CALL</f>
        <v>8939271.50750446</v>
      </c>
      <c r="H14" s="24" t="n">
        <f aca="false">D14-C14</f>
        <v>-262901.874171125</v>
      </c>
      <c r="I14" s="24" t="n">
        <f aca="false">E14-C14</f>
        <v>-262901.874171125</v>
      </c>
      <c r="J14" s="24" t="n">
        <f aca="false">F14-C14</f>
        <v>-174830.366666667</v>
      </c>
      <c r="K14" s="34" t="str">
        <f aca="false">IF(C14=MAX(C14,D14,E14,F14),"No Hedge",IF(D14=MAX(C14,D14,E14,F14),"Forward",IF(E14=MAX(C14,D14,E14,F14),"Money Market","Put")))</f>
        <v>No Hedge</v>
      </c>
      <c r="L14" s="34" t="str">
        <f aca="false">IF(D14=MAX(D14,E14,F14),"Forward",IF(E14=MAX(D14,E14,F14),"Money Market","Put"))</f>
        <v>Put</v>
      </c>
    </row>
    <row r="15" customFormat="false" ht="15" hidden="false" customHeight="true" outlineLevel="0" collapsed="false">
      <c r="A15" s="33" t="n">
        <v>5</v>
      </c>
      <c r="B15" s="22" t="n">
        <f aca="false">S0_in*(1+A15*STEP_FRAC)</f>
        <v>1.210125</v>
      </c>
      <c r="C15" s="24" t="n">
        <f aca="false">B15*FC_AMT</f>
        <v>9681000</v>
      </c>
      <c r="D15" s="24" t="n">
        <f aca="false">USD_FWD</f>
        <v>9325898.12582888</v>
      </c>
      <c r="E15" s="24" t="n">
        <f aca="false">USD_MM</f>
        <v>9325898.12582888</v>
      </c>
      <c r="F15" s="24" t="n">
        <f aca="false">MAX(B15,K_PUT)*FC_AMT+FV_PREM_PUT</f>
        <v>9506169.63333334</v>
      </c>
      <c r="G15" s="24" t="n">
        <f aca="false">MIN(B15,K_CALL)*FC_AMT+FV_PREM_CALL</f>
        <v>8939271.50750446</v>
      </c>
      <c r="H15" s="24" t="n">
        <f aca="false">D15-C15</f>
        <v>-355101.874171127</v>
      </c>
      <c r="I15" s="24" t="n">
        <f aca="false">E15-C15</f>
        <v>-355101.874171127</v>
      </c>
      <c r="J15" s="24" t="n">
        <f aca="false">F15-C15</f>
        <v>-174830.366666667</v>
      </c>
      <c r="K15" s="34" t="str">
        <f aca="false">IF(C15=MAX(C15,D15,E15,F15),"No Hedge",IF(D15=MAX(C15,D15,E15,F15),"Forward",IF(E15=MAX(C15,D15,E15,F15),"Money Market","Put")))</f>
        <v>No Hedge</v>
      </c>
      <c r="L15" s="34" t="str">
        <f aca="false">IF(D15=MAX(D15,E15,F15),"Forward",IF(E15=MAX(D15,E15,F15),"Money Market","Put"))</f>
        <v>Put</v>
      </c>
    </row>
    <row r="17" customFormat="false" ht="15" hidden="false" customHeight="true" outlineLevel="0" collapsed="false">
      <c r="A17" s="38" t="s">
        <v>210</v>
      </c>
    </row>
    <row r="18" customFormat="false" ht="15" hidden="false" customHeight="true" outlineLevel="0" collapsed="false">
      <c r="A18" s="5" t="s">
        <v>211</v>
      </c>
      <c r="C18" s="32" t="str">
        <f aca="false">IF(ABS((MIN(B5:B15)+MAX(B5:B15))/2-S0_in)&lt;0.0001,"PASS","FAIL")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55"/>
  </cols>
  <sheetData>
    <row r="1" customFormat="false" ht="19.5" hidden="false" customHeight="true" outlineLevel="0" collapsed="false">
      <c r="A1" s="2" t="s">
        <v>212</v>
      </c>
    </row>
    <row r="2" customFormat="false" ht="15" hidden="false" customHeight="true" outlineLevel="0" collapsed="false">
      <c r="A2" s="3" t="s">
        <v>213</v>
      </c>
    </row>
    <row r="4" customFormat="false" ht="15" hidden="false" customHeight="true" outlineLevel="0" collapsed="false">
      <c r="A4" s="4" t="s">
        <v>214</v>
      </c>
    </row>
    <row r="5" customFormat="false" ht="15" hidden="false" customHeight="true" outlineLevel="0" collapsed="false">
      <c r="A5" s="7" t="s">
        <v>215</v>
      </c>
      <c r="B5" s="7" t="s">
        <v>216</v>
      </c>
      <c r="C5" s="7" t="s">
        <v>217</v>
      </c>
    </row>
    <row r="6" customFormat="false" ht="15" hidden="false" customHeight="true" outlineLevel="0" collapsed="false">
      <c r="A6" s="9" t="s">
        <v>218</v>
      </c>
      <c r="B6" s="39" t="str">
        <f aca="false">MoneyMarket!C16</f>
        <v>PASS</v>
      </c>
      <c r="C6" s="9" t="s">
        <v>219</v>
      </c>
    </row>
    <row r="7" customFormat="false" ht="15" hidden="false" customHeight="true" outlineLevel="0" collapsed="false">
      <c r="A7" s="9" t="s">
        <v>220</v>
      </c>
      <c r="B7" s="39" t="str">
        <f aca="false">Options_Put!C13</f>
        <v>PASS</v>
      </c>
      <c r="C7" s="9" t="s">
        <v>221</v>
      </c>
    </row>
    <row r="8" customFormat="false" ht="15" hidden="false" customHeight="true" outlineLevel="0" collapsed="false">
      <c r="A8" s="9" t="s">
        <v>222</v>
      </c>
      <c r="B8" s="39" t="str">
        <f aca="false">Sensitivity!C18</f>
        <v>PASS</v>
      </c>
      <c r="C8" s="9" t="s">
        <v>223</v>
      </c>
    </row>
    <row r="9" customFormat="false" ht="15" hidden="false" customHeight="true" outlineLevel="0" collapsed="false">
      <c r="A9" s="9" t="s">
        <v>224</v>
      </c>
      <c r="B9" s="39" t="s">
        <v>225</v>
      </c>
      <c r="C9" s="9" t="s">
        <v>226</v>
      </c>
    </row>
    <row r="10" customFormat="false" ht="15" hidden="false" customHeight="true" outlineLevel="0" collapsed="false">
      <c r="A10" s="9" t="s">
        <v>227</v>
      </c>
      <c r="B10" s="39" t="s">
        <v>225</v>
      </c>
      <c r="C10" s="9" t="s">
        <v>228</v>
      </c>
    </row>
    <row r="12" customFormat="false" ht="15" hidden="false" customHeight="true" outlineLevel="0" collapsed="false">
      <c r="A12" s="4" t="s">
        <v>229</v>
      </c>
    </row>
    <row r="13" customFormat="false" ht="15.75" hidden="false" customHeight="true" outlineLevel="0" collapsed="false">
      <c r="A13" s="40" t="s">
        <v>230</v>
      </c>
      <c r="B13" s="40"/>
      <c r="C13" s="40"/>
    </row>
    <row r="14" customFormat="false" ht="15.75" hidden="false" customHeight="true" outlineLevel="0" collapsed="false">
      <c r="A14" s="40" t="s">
        <v>231</v>
      </c>
      <c r="B14" s="40"/>
      <c r="C14" s="40"/>
    </row>
    <row r="15" customFormat="false" ht="15.75" hidden="false" customHeight="true" outlineLevel="0" collapsed="false">
      <c r="A15" s="40" t="s">
        <v>232</v>
      </c>
      <c r="B15" s="40"/>
      <c r="C15" s="40"/>
    </row>
    <row r="16" customFormat="false" ht="15.75" hidden="false" customHeight="true" outlineLevel="0" collapsed="false">
      <c r="A16" s="40" t="s">
        <v>233</v>
      </c>
      <c r="B16" s="40"/>
      <c r="C16" s="40"/>
    </row>
    <row r="17" customFormat="false" ht="15.75" hidden="false" customHeight="true" outlineLevel="0" collapsed="false">
      <c r="A17" s="40" t="s">
        <v>234</v>
      </c>
      <c r="B17" s="40"/>
      <c r="C17" s="40"/>
    </row>
    <row r="18" customFormat="false" ht="15.75" hidden="false" customHeight="true" outlineLevel="0" collapsed="false">
      <c r="A18" s="40" t="s">
        <v>235</v>
      </c>
      <c r="B18" s="40"/>
      <c r="C18" s="40"/>
    </row>
    <row r="19" customFormat="false" ht="15.75" hidden="false" customHeight="true" outlineLevel="0" collapsed="false">
      <c r="A19" s="40" t="s">
        <v>236</v>
      </c>
      <c r="B19" s="40"/>
      <c r="C19" s="40"/>
    </row>
    <row r="20" customFormat="false" ht="15.75" hidden="false" customHeight="true" outlineLevel="0" collapsed="false">
      <c r="A20" s="40" t="s">
        <v>237</v>
      </c>
      <c r="B20" s="40"/>
      <c r="C20" s="40"/>
    </row>
    <row r="21" customFormat="false" ht="15.75" hidden="false" customHeight="true" outlineLevel="0" collapsed="false">
      <c r="A21" s="40" t="s">
        <v>238</v>
      </c>
      <c r="B21" s="40"/>
      <c r="C21" s="40"/>
    </row>
    <row r="22" customFormat="false" ht="15.75" hidden="false" customHeight="true" outlineLevel="0" collapsed="false">
      <c r="A22" s="40" t="s">
        <v>239</v>
      </c>
      <c r="B22" s="40"/>
      <c r="C22" s="40"/>
    </row>
    <row r="24" customFormat="false" ht="15" hidden="false" customHeight="true" outlineLevel="0" collapsed="false">
      <c r="A24" s="4" t="s">
        <v>240</v>
      </c>
    </row>
    <row r="25" customFormat="false" ht="15" hidden="false" customHeight="true" outlineLevel="0" collapsed="false">
      <c r="A25" s="7" t="s">
        <v>241</v>
      </c>
      <c r="B25" s="7" t="s">
        <v>242</v>
      </c>
      <c r="C25" s="7" t="s">
        <v>7</v>
      </c>
      <c r="D25" s="7" t="s">
        <v>243</v>
      </c>
    </row>
    <row r="26" customFormat="false" ht="15" hidden="false" customHeight="true" outlineLevel="0" collapsed="false">
      <c r="A26" s="9" t="s">
        <v>244</v>
      </c>
      <c r="B26" s="9" t="s">
        <v>10</v>
      </c>
      <c r="C26" s="9" t="s">
        <v>8</v>
      </c>
      <c r="D26" s="9" t="s">
        <v>245</v>
      </c>
    </row>
    <row r="27" customFormat="false" ht="15" hidden="false" customHeight="true" outlineLevel="0" collapsed="false">
      <c r="A27" s="1" t="s">
        <v>14</v>
      </c>
      <c r="B27" s="1" t="s">
        <v>10</v>
      </c>
      <c r="C27" s="1" t="s">
        <v>8</v>
      </c>
      <c r="D27" s="1" t="s">
        <v>246</v>
      </c>
    </row>
  </sheetData>
  <mergeCells count="10"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2026-08-08T08:42:52Z</dcterms:created>
  <dc:creator>openpyxl</dc:creator>
  <dc:description/>
  <dc:language>en-US</dc:language>
  <cp:lastModifiedBy/>
  <dcterms:modified xsi:type="dcterms:W3CDTF">2026-08-08T09:38:51Z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